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C:\Users\USER\Desktop\Study Material\Data Projects\Excel\"/>
    </mc:Choice>
  </mc:AlternateContent>
  <xr:revisionPtr revIDLastSave="0" documentId="13_ncr:1_{B0510879-1BBD-4124-8A8F-E8BCCE24B066}" xr6:coauthVersionLast="47" xr6:coauthVersionMax="47" xr10:uidLastSave="{00000000-0000-0000-0000-000000000000}"/>
  <bookViews>
    <workbookView xWindow="-120" yWindow="-120" windowWidth="24240" windowHeight="18240" xr2:uid="{00000000-000D-0000-FFFF-FFFF00000000}"/>
  </bookViews>
  <sheets>
    <sheet name="DASHBOARD" sheetId="4" r:id="rId1"/>
    <sheet name="Data" sheetId="2" r:id="rId2"/>
  </sheets>
  <definedNames>
    <definedName name="_xlchart.v1.0" hidden="1">Data!$D$62:$D$66</definedName>
    <definedName name="_xlchart.v1.1" hidden="1">Data!$E$62:$E$66</definedName>
    <definedName name="_xlchart.v1.2" hidden="1">Data!$E$39:$E$43</definedName>
    <definedName name="_xlchart.v1.3" hidden="1">Data!$F$38</definedName>
    <definedName name="_xlchart.v1.4" hidden="1">Data!$F$39:$F$43</definedName>
    <definedName name="_xlchart.v1.5" hidden="1">Data!$E$39:$E$43</definedName>
    <definedName name="_xlchart.v1.6" hidden="1">Data!$F$38</definedName>
    <definedName name="_xlchart.v1.7" hidden="1">Data!$F$39:$F$43</definedName>
    <definedName name="_xlchart.v1.8" hidden="1">Data!$D$62:$D$66</definedName>
    <definedName name="_xlchart.v1.9" hidden="1">Data!$E$62:$E$66</definedName>
    <definedName name="Slicer_Order_Date__Month">#N/A</definedName>
    <definedName name="Slicer_Order_Date__Year">#N/A</definedName>
    <definedName name="Slicer_Product_Category">#N/A</definedName>
    <definedName name="Slicer_Region">#N/A</definedName>
  </definedNames>
  <calcPr calcId="181029"/>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 cacheId="10" r:id="rId13"/>
  </pivotCaches>
  <extLst>
    <ext xmlns:x14="http://schemas.microsoft.com/office/spreadsheetml/2009/9/main" uri="{876F7934-8845-4945-9796-88D515C7AA90}">
      <x14:pivotCaches>
        <pivotCache cacheId="11" r:id="rId14"/>
      </x14:pivotCaches>
    </ex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MegaMart_2f22f5eb-32a8-43be-8c24-932d471d73bf" name="MegaMart" connection="Query - MegaMart"/>
        </x15:modelTables>
        <x15:extLst>
          <ext xmlns:x16="http://schemas.microsoft.com/office/spreadsheetml/2014/11/main" uri="{9835A34E-60A6-4A7C-AAB8-D5F71C897F49}">
            <x16:modelTimeGroupings>
              <x16:modelTimeGrouping tableName="MegaMart"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84" i="2" l="1"/>
  <c r="D85" i="2"/>
  <c r="E85" i="2"/>
  <c r="D86" i="2"/>
  <c r="E86" i="2"/>
  <c r="D87" i="2"/>
  <c r="E87" i="2"/>
  <c r="D88" i="2"/>
  <c r="E88" i="2"/>
  <c r="D89" i="2"/>
  <c r="E89" i="2"/>
  <c r="D90" i="2"/>
  <c r="E90" i="2"/>
  <c r="E84" i="2"/>
  <c r="F38" i="2"/>
  <c r="E38" i="2"/>
  <c r="E40" i="2"/>
  <c r="F40" i="2"/>
  <c r="E41" i="2"/>
  <c r="F41" i="2"/>
  <c r="E42" i="2"/>
  <c r="F42" i="2"/>
  <c r="E43" i="2"/>
  <c r="F43" i="2"/>
  <c r="F39" i="2"/>
  <c r="E39" i="2"/>
  <c r="E63" i="2"/>
  <c r="E64" i="2"/>
  <c r="E65" i="2"/>
  <c r="E66" i="2"/>
  <c r="E62" i="2"/>
  <c r="D64" i="2"/>
  <c r="D65" i="2"/>
  <c r="D66" i="2"/>
  <c r="D63" i="2"/>
  <c r="D62" i="2"/>
  <c r="B25" i="2"/>
  <c r="C4" i="2"/>
  <c r="B32" i="2"/>
  <c r="B19" i="2"/>
  <c r="D17"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E45DA0E-945D-49C2-A89B-3B2D92CC8519}" name="Query - MegaMart" description="Connection to the 'MegaMart' query in the workbook." type="100" refreshedVersion="8" minRefreshableVersion="5">
    <extLst>
      <ext xmlns:x15="http://schemas.microsoft.com/office/spreadsheetml/2010/11/main" uri="{DE250136-89BD-433C-8126-D09CA5730AF9}">
        <x15:connection id="15d97f62-c163-4fc4-a7f3-9fefba290ceb"/>
      </ext>
    </extLst>
  </connection>
  <connection id="2" xr16:uid="{5374F9EE-B67C-429F-A525-66365315AD7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<sst xmlns="http://schemas.openxmlformats.org/spreadsheetml/2006/main" count="67" uniqueCount="51">
  <si>
    <t>Ryan Williams</t>
  </si>
  <si>
    <t>Pamela Underwood</t>
  </si>
  <si>
    <t>John Ryan</t>
  </si>
  <si>
    <t>Kristin Morgan</t>
  </si>
  <si>
    <t>Jessica Johnson</t>
  </si>
  <si>
    <t>Central</t>
  </si>
  <si>
    <t>West</t>
  </si>
  <si>
    <t>East</t>
  </si>
  <si>
    <t>North</t>
  </si>
  <si>
    <t>South</t>
  </si>
  <si>
    <t>Washing Machine</t>
  </si>
  <si>
    <t>AC</t>
  </si>
  <si>
    <t>Laptop</t>
  </si>
  <si>
    <t>Refrigerator</t>
  </si>
  <si>
    <t>Microwave</t>
  </si>
  <si>
    <t>TV</t>
  </si>
  <si>
    <t>Mobile</t>
  </si>
  <si>
    <t>LG Front Load</t>
  </si>
  <si>
    <t>LG OLED 65"</t>
  </si>
  <si>
    <t>PEL Arctic</t>
  </si>
  <si>
    <t>Panasonic Grill</t>
  </si>
  <si>
    <t>Dell XPS 13</t>
  </si>
  <si>
    <t>Dawlance 91996</t>
  </si>
  <si>
    <t>Sony Bravia 50"</t>
  </si>
  <si>
    <t>Sum of Total Sales</t>
  </si>
  <si>
    <t>Sum of Quantity</t>
  </si>
  <si>
    <t>Sum of Profit</t>
  </si>
  <si>
    <t>2025</t>
  </si>
  <si>
    <t>Jun</t>
  </si>
  <si>
    <t>Jan</t>
  </si>
  <si>
    <t>Feb</t>
  </si>
  <si>
    <t>Mar</t>
  </si>
  <si>
    <t>Apr</t>
  </si>
  <si>
    <t>May</t>
  </si>
  <si>
    <t>Row Labels</t>
  </si>
  <si>
    <t>Sum of Cost</t>
  </si>
  <si>
    <t>Dawlance 30L</t>
  </si>
  <si>
    <t>2024</t>
  </si>
  <si>
    <t>Jul</t>
  </si>
  <si>
    <t>Aug</t>
  </si>
  <si>
    <t>Sep</t>
  </si>
  <si>
    <t>Oct</t>
  </si>
  <si>
    <t>Nov</t>
  </si>
  <si>
    <t>Dec</t>
  </si>
  <si>
    <t>Anthony Gardner</t>
  </si>
  <si>
    <t>Brenda Mcgrath</t>
  </si>
  <si>
    <t>Jasmin Bowman</t>
  </si>
  <si>
    <t>Melanie Jackson</t>
  </si>
  <si>
    <t>Michael Waters</t>
  </si>
  <si>
    <t>HP Pavilion</t>
  </si>
  <si>
    <t>Haier Inverter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</si>
</sst>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 &quot;M&quot;"/>
    <numFmt numFmtId="166" formatCode="#,##0.#,,\ &quot;M&quot;"/>
    <numFmt numFmtId="167" formatCode="#,##0,,\ &quot;M&quot;"/>
    <numFmt numFmtId="168" formatCode="0.0,,\ &quot;M&quot;"/>
    <numFmt numFmtId="169" formatCode="0,\ &quot;K&quot;"/>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
    <xf numFmtId="0" fontId="0" fillId="0" borderId="0" xfId="0"/>
    <xf numFmtId="164" fontId="0" fillId="0" borderId="0" xfId="0" applyNumberFormat="1"/>
    <xf numFmtId="165" fontId="0" fillId="0" borderId="0" xfId="0" applyNumberFormat="1"/>
    <xf numFmtId="164" fontId="0" fillId="0" borderId="0" xfId="1" applyNumberFormat="1" applyFont="1"/>
    <xf numFmtId="165" fontId="0" fillId="0" borderId="0" xfId="1"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166" fontId="0" fillId="0" borderId="0" xfId="0" applyNumberFormat="1"/>
    <xf numFmtId="167" fontId="0" fillId="0" borderId="0" xfId="0" applyNumberFormat="1"/>
    <xf numFmtId="168" fontId="0" fillId="0" borderId="0" xfId="0" applyNumberFormat="1"/>
    <xf numFmtId="169" fontId="0" fillId="0" borderId="0" xfId="0" applyNumberFormat="1"/>
    <xf numFmtId="9" fontId="0" fillId="0" borderId="0" xfId="2" applyFont="1"/>
  </cellXfs>
  <cellStyles count="3">
    <cellStyle name="Comma" xfId="1" builtinId="3"/>
    <cellStyle name="Normal" xfId="0" builtinId="0"/>
    <cellStyle name="Percent" xfId="2" builtinId="5"/>
  </cellStyles>
  <dxfs count="18">
    <dxf>
      <numFmt numFmtId="169" formatCode="0,\ &quot;K&quot;"/>
    </dxf>
    <dxf>
      <numFmt numFmtId="164" formatCode="_(* #,##0_);_(* \(#,##0\);_(* &quot;-&quot;??_);_(@_)"/>
    </dxf>
    <dxf>
      <numFmt numFmtId="164" formatCode="_(* #,##0_);_(* \(#,##0\);_(* &quot;-&quot;??_);_(@_)"/>
    </dxf>
    <dxf>
      <numFmt numFmtId="164" formatCode="_(* #,##0_);_(* \(#,##0\);_(* &quot;-&quot;??_);_(@_)"/>
    </dxf>
    <dxf>
      <numFmt numFmtId="164" formatCode="_(* #,##0_);_(* \(#,##0\);_(* &quot;-&quot;??_);_(@_)"/>
    </dxf>
    <dxf>
      <numFmt numFmtId="168" formatCode="0.0,,\ &quot;M&quot;"/>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6" formatCode="#,##0.#,,\ &quot;M&quot;"/>
    </dxf>
    <dxf>
      <numFmt numFmtId="166" formatCode="#,##0.#,,\ &quot;M&quot;"/>
    </dxf>
    <dxf>
      <numFmt numFmtId="166" formatCode="#,##0.#,,\ &quot;M&quot;"/>
    </dxf>
    <dxf>
      <numFmt numFmtId="164" formatCode="_(* #,##0_);_(* \(#,##0\);_(* &quot;-&quot;??_);_(@_)"/>
    </dxf>
    <dxf>
      <font>
        <b/>
        <color theme="1"/>
      </font>
      <border>
        <bottom style="thin">
          <color theme="4"/>
        </bottom>
        <vertical/>
        <horizontal/>
      </border>
    </dxf>
    <dxf>
      <font>
        <sz val="12"/>
        <color theme="0"/>
      </font>
      <fill>
        <patternFill patternType="none">
          <bgColor auto="1"/>
        </patternFill>
      </fill>
      <border diagonalUp="0" diagonalDown="0">
        <left/>
        <right/>
        <top/>
        <bottom/>
        <vertical/>
        <horizontal/>
      </border>
    </dxf>
  </dxfs>
  <tableStyles count="1" defaultTableStyle="TableStyleMedium9" defaultPivotStyle="PivotStyleLight16">
    <tableStyle name="SlicerStyleLight1 2" pivot="0" table="0" count="10" xr9:uid="{B68C90D2-51A3-4276-85D5-B5BC83643482}">
      <tableStyleElement type="wholeTable" dxfId="17"/>
      <tableStyleElement type="headerRow" dxfId="16"/>
    </tableStyle>
  </tableStyles>
  <extLst>
    <ext xmlns:x14="http://schemas.microsoft.com/office/spreadsheetml/2009/9/main" uri="{46F421CA-312F-682f-3DD2-61675219B42D}">
      <x14:dxfs count="8">
        <dxf>
          <font>
            <color rgb="FF000000"/>
          </font>
          <fill>
            <patternFill patternType="solid">
              <fgColor auto="1"/>
              <bgColor theme="5"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6.xml"/><Relationship Id="rId13" Type="http://schemas.openxmlformats.org/officeDocument/2006/relationships/pivotCacheDefinition" Target="pivotCache/pivotCacheDefinition11.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pivotCacheDefinition" Target="pivotCache/pivotCacheDefinition1.xml"/><Relationship Id="rId21" Type="http://schemas.openxmlformats.org/officeDocument/2006/relationships/styles" Target="styles.xml"/><Relationship Id="rId7" Type="http://schemas.openxmlformats.org/officeDocument/2006/relationships/pivotCacheDefinition" Target="pivotCache/pivotCacheDefinition5.xml"/><Relationship Id="rId12" Type="http://schemas.openxmlformats.org/officeDocument/2006/relationships/pivotCacheDefinition" Target="pivotCache/pivotCacheDefinition10.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pivotCacheDefinition" Target="pivotCache/pivotCacheDefinition9.xml"/><Relationship Id="rId24" Type="http://schemas.openxmlformats.org/officeDocument/2006/relationships/calcChain" Target="calcChain.xml"/><Relationship Id="rId5"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powerPivotData" Target="model/item.data"/><Relationship Id="rId10" Type="http://schemas.openxmlformats.org/officeDocument/2006/relationships/pivotCacheDefinition" Target="pivotCache/pivotCacheDefinition8.xml"/><Relationship Id="rId19" Type="http://schemas.openxmlformats.org/officeDocument/2006/relationships/theme" Target="theme/theme1.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[MegaMart_Sales_1000Rows.xlsm]Data!PivotTable3</c:name>
    <c:fmtId val="3"/>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horzOverflow="clip" vert="horz" wrap="square" lIns="38100" tIns="91440" rIns="27432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horzOverflow="clip" vert="horz" wrap="square" lIns="38100" tIns="91440" rIns="27432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ysClr val="window" lastClr="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5036605100390754E-2"/>
              <c:y val="-0.12719530774768542"/>
            </c:manualLayout>
          </c:layout>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1"/>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2"/>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9"/>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0"/>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1"/>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2"/>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4"/>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5"/>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1.6350798959494612E-2"/>
          <c:y val="0.14617945297981461"/>
          <c:w val="0.96729840208101081"/>
          <c:h val="0.65238867899257214"/>
        </c:manualLayout>
      </c:layout>
      <c:lineChart>
        <c:grouping val="standard"/>
        <c:varyColors val="0"/>
        <c:ser>
          <c:idx val="0"/>
          <c:order val="0"/>
          <c:tx>
            <c:strRef>
              <c:f>Data!$I$5</c:f>
              <c:strCache>
                <c:ptCount val="1"/>
                <c:pt idx="0">
                  <c:v>Sum of 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5E93-4B26-930C-17E71AFCB379}"/>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A5C2-42E0-89AE-F1A7EB807D58}"/>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479E-4F52-BA91-86E90B846477}"/>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479E-4F52-BA91-86E90B846477}"/>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5E93-4B26-930C-17E71AFCB379}"/>
              </c:ext>
            </c:extLst>
          </c:dPt>
          <c:dPt>
            <c:idx val="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A5C2-42E0-89AE-F1A7EB807D58}"/>
              </c:ext>
            </c:extLst>
          </c:dPt>
          <c:dPt>
            <c:idx val="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6-A5C2-42E0-89AE-F1A7EB807D58}"/>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7-A5C2-42E0-89AE-F1A7EB807D58}"/>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A5C2-42E0-89AE-F1A7EB807D58}"/>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A5C2-42E0-89AE-F1A7EB807D58}"/>
              </c:ext>
            </c:extLst>
          </c:dPt>
          <c:dLbls>
            <c:dLbl>
              <c:idx val="1"/>
              <c:delete val="1"/>
              <c:extLst>
                <c:ext xmlns:c15="http://schemas.microsoft.com/office/drawing/2012/chart" uri="{CE6537A1-D6FC-4f65-9D91-7224C49458BB}"/>
                <c:ext xmlns:c16="http://schemas.microsoft.com/office/drawing/2014/chart" uri="{C3380CC4-5D6E-409C-BE32-E72D297353CC}">
                  <c16:uniqueId val="{00000001-A5C2-42E0-89AE-F1A7EB807D58}"/>
                </c:ext>
              </c:extLst>
            </c:dLbl>
            <c:dLbl>
              <c:idx val="2"/>
              <c:delete val="1"/>
              <c:extLst>
                <c:ext xmlns:c15="http://schemas.microsoft.com/office/drawing/2012/chart" uri="{CE6537A1-D6FC-4f65-9D91-7224C49458BB}"/>
                <c:ext xmlns:c16="http://schemas.microsoft.com/office/drawing/2014/chart" uri="{C3380CC4-5D6E-409C-BE32-E72D297353CC}">
                  <c16:uniqueId val="{00000008-479E-4F52-BA91-86E90B846477}"/>
                </c:ext>
              </c:extLst>
            </c:dLbl>
            <c:dLbl>
              <c:idx val="3"/>
              <c:delete val="1"/>
              <c:extLst>
                <c:ext xmlns:c15="http://schemas.microsoft.com/office/drawing/2012/chart" uri="{CE6537A1-D6FC-4f65-9D91-7224C49458BB}"/>
                <c:ext xmlns:c16="http://schemas.microsoft.com/office/drawing/2014/chart" uri="{C3380CC4-5D6E-409C-BE32-E72D297353CC}">
                  <c16:uniqueId val="{00000009-479E-4F52-BA91-86E90B846477}"/>
                </c:ext>
              </c:extLst>
            </c:dLbl>
            <c:dLbl>
              <c:idx val="5"/>
              <c:delete val="1"/>
              <c:extLst>
                <c:ext xmlns:c15="http://schemas.microsoft.com/office/drawing/2012/chart" uri="{CE6537A1-D6FC-4f65-9D91-7224C49458BB}"/>
                <c:ext xmlns:c16="http://schemas.microsoft.com/office/drawing/2014/chart" uri="{C3380CC4-5D6E-409C-BE32-E72D297353CC}">
                  <c16:uniqueId val="{00000005-A5C2-42E0-89AE-F1A7EB807D58}"/>
                </c:ext>
              </c:extLst>
            </c:dLbl>
            <c:dLbl>
              <c:idx val="6"/>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A-A5C2-42E0-89AE-F1A7EB807D58}"/>
                </c:ext>
              </c:extLst>
            </c:dLbl>
            <c:dLbl>
              <c:idx val="7"/>
              <c:delete val="1"/>
              <c:extLst>
                <c:ext xmlns:c15="http://schemas.microsoft.com/office/drawing/2012/chart" uri="{CE6537A1-D6FC-4f65-9D91-7224C49458BB}"/>
                <c:ext xmlns:c16="http://schemas.microsoft.com/office/drawing/2014/chart" uri="{C3380CC4-5D6E-409C-BE32-E72D297353CC}">
                  <c16:uniqueId val="{00000006-A5C2-42E0-89AE-F1A7EB807D58}"/>
                </c:ext>
              </c:extLst>
            </c:dLbl>
            <c:dLbl>
              <c:idx val="9"/>
              <c:delete val="1"/>
              <c:extLst>
                <c:ext xmlns:c15="http://schemas.microsoft.com/office/drawing/2012/chart" uri="{CE6537A1-D6FC-4f65-9D91-7224C49458BB}"/>
                <c:ext xmlns:c16="http://schemas.microsoft.com/office/drawing/2014/chart" uri="{C3380CC4-5D6E-409C-BE32-E72D297353CC}">
                  <c16:uniqueId val="{00000007-A5C2-42E0-89AE-F1A7EB807D58}"/>
                </c:ext>
              </c:extLst>
            </c:dLbl>
            <c:dLbl>
              <c:idx val="10"/>
              <c:layout>
                <c:manualLayout>
                  <c:x val="-1.5036605100390754E-2"/>
                  <c:y val="-0.1271953077476854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5C2-42E0-89AE-F1A7EB807D58}"/>
                </c:ext>
              </c:extLst>
            </c:dLbl>
            <c:dLbl>
              <c:idx val="11"/>
              <c:delete val="1"/>
              <c:extLst>
                <c:ext xmlns:c15="http://schemas.microsoft.com/office/drawing/2012/chart" uri="{CE6537A1-D6FC-4f65-9D91-7224C49458BB}"/>
                <c:ext xmlns:c16="http://schemas.microsoft.com/office/drawing/2014/chart" uri="{C3380CC4-5D6E-409C-BE32-E72D297353CC}">
                  <c16:uniqueId val="{00000009-A5C2-42E0-89AE-F1A7EB807D58}"/>
                </c:ext>
              </c:extLst>
            </c:dLbl>
            <c:spPr>
              <a:noFill/>
              <a:ln>
                <a:noFill/>
              </a:ln>
              <a:effectLst/>
            </c:spPr>
            <c:txPr>
              <a:bodyPr rot="0" spcFirstLastPara="1" vertOverflow="ellipsis" horzOverflow="clip" vert="horz" wrap="square" lIns="38100" tIns="9144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multiLvlStrRef>
              <c:f>Data!$H$6:$H$20</c:f>
              <c:multiLvlStrCache>
                <c:ptCount val="13"/>
                <c:lvl>
                  <c:pt idx="0">
                    <c:v>Jun</c:v>
                  </c:pt>
                  <c:pt idx="1">
                    <c:v>Jul</c:v>
                  </c:pt>
                  <c:pt idx="2">
                    <c:v>Aug</c:v>
                  </c:pt>
                  <c:pt idx="3">
                    <c:v>Sep</c:v>
                  </c:pt>
                  <c:pt idx="4">
                    <c:v>Oct</c:v>
                  </c:pt>
                  <c:pt idx="5">
                    <c:v>Nov</c:v>
                  </c:pt>
                  <c:pt idx="6">
                    <c:v>Dec</c:v>
                  </c:pt>
                  <c:pt idx="7">
                    <c:v>Jan</c:v>
                  </c:pt>
                  <c:pt idx="8">
                    <c:v>Feb</c:v>
                  </c:pt>
                  <c:pt idx="9">
                    <c:v>Mar</c:v>
                  </c:pt>
                  <c:pt idx="10">
                    <c:v>Apr</c:v>
                  </c:pt>
                  <c:pt idx="11">
                    <c:v>May</c:v>
                  </c:pt>
                  <c:pt idx="12">
                    <c:v>Jun</c:v>
                  </c:pt>
                </c:lvl>
                <c:lvl>
                  <c:pt idx="0">
                    <c:v>2024</c:v>
                  </c:pt>
                  <c:pt idx="7">
                    <c:v>2025</c:v>
                  </c:pt>
                </c:lvl>
              </c:multiLvlStrCache>
            </c:multiLvlStrRef>
          </c:cat>
          <c:val>
            <c:numRef>
              <c:f>Data!$I$6:$I$20</c:f>
              <c:numCache>
                <c:formatCode>#,##0.#,,\ "M"</c:formatCode>
                <c:ptCount val="13"/>
                <c:pt idx="0">
                  <c:v>5473945.3200000003</c:v>
                </c:pt>
                <c:pt idx="1">
                  <c:v>19396859.32</c:v>
                </c:pt>
                <c:pt idx="2">
                  <c:v>17956109.960000001</c:v>
                </c:pt>
                <c:pt idx="3">
                  <c:v>19885236.52</c:v>
                </c:pt>
                <c:pt idx="4">
                  <c:v>23336780.510000002</c:v>
                </c:pt>
                <c:pt idx="5">
                  <c:v>20134764.210000001</c:v>
                </c:pt>
                <c:pt idx="6">
                  <c:v>23937518.379999999</c:v>
                </c:pt>
                <c:pt idx="7">
                  <c:v>19108908.66</c:v>
                </c:pt>
                <c:pt idx="8">
                  <c:v>15251763.279999999</c:v>
                </c:pt>
                <c:pt idx="9">
                  <c:v>16900547.670000002</c:v>
                </c:pt>
                <c:pt idx="10">
                  <c:v>23531427.170000002</c:v>
                </c:pt>
                <c:pt idx="11">
                  <c:v>18966022.620000001</c:v>
                </c:pt>
                <c:pt idx="12">
                  <c:v>13337877.23</c:v>
                </c:pt>
              </c:numCache>
            </c:numRef>
          </c:val>
          <c:smooth val="0"/>
          <c:extLst>
            <c:ext xmlns:c16="http://schemas.microsoft.com/office/drawing/2014/chart" uri="{C3380CC4-5D6E-409C-BE32-E72D297353CC}">
              <c16:uniqueId val="{00000000-EC1D-4E10-A360-B6AB9E2D44A0}"/>
            </c:ext>
          </c:extLst>
        </c:ser>
        <c:ser>
          <c:idx val="1"/>
          <c:order val="1"/>
          <c:tx>
            <c:strRef>
              <c:f>Data!$J$5</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Data!$H$6:$H$20</c:f>
              <c:multiLvlStrCache>
                <c:ptCount val="13"/>
                <c:lvl>
                  <c:pt idx="0">
                    <c:v>Jun</c:v>
                  </c:pt>
                  <c:pt idx="1">
                    <c:v>Jul</c:v>
                  </c:pt>
                  <c:pt idx="2">
                    <c:v>Aug</c:v>
                  </c:pt>
                  <c:pt idx="3">
                    <c:v>Sep</c:v>
                  </c:pt>
                  <c:pt idx="4">
                    <c:v>Oct</c:v>
                  </c:pt>
                  <c:pt idx="5">
                    <c:v>Nov</c:v>
                  </c:pt>
                  <c:pt idx="6">
                    <c:v>Dec</c:v>
                  </c:pt>
                  <c:pt idx="7">
                    <c:v>Jan</c:v>
                  </c:pt>
                  <c:pt idx="8">
                    <c:v>Feb</c:v>
                  </c:pt>
                  <c:pt idx="9">
                    <c:v>Mar</c:v>
                  </c:pt>
                  <c:pt idx="10">
                    <c:v>Apr</c:v>
                  </c:pt>
                  <c:pt idx="11">
                    <c:v>May</c:v>
                  </c:pt>
                  <c:pt idx="12">
                    <c:v>Jun</c:v>
                  </c:pt>
                </c:lvl>
                <c:lvl>
                  <c:pt idx="0">
                    <c:v>2024</c:v>
                  </c:pt>
                  <c:pt idx="7">
                    <c:v>2025</c:v>
                  </c:pt>
                </c:lvl>
              </c:multiLvlStrCache>
            </c:multiLvlStrRef>
          </c:cat>
          <c:val>
            <c:numRef>
              <c:f>Data!$J$6:$J$20</c:f>
              <c:numCache>
                <c:formatCode>#,##0.#,,\ "M"</c:formatCode>
                <c:ptCount val="13"/>
                <c:pt idx="0">
                  <c:v>1210423.72</c:v>
                </c:pt>
                <c:pt idx="1">
                  <c:v>5178507.3099999996</c:v>
                </c:pt>
                <c:pt idx="2">
                  <c:v>4840060.75</c:v>
                </c:pt>
                <c:pt idx="3">
                  <c:v>4777429.97</c:v>
                </c:pt>
                <c:pt idx="4">
                  <c:v>6275146.1399999997</c:v>
                </c:pt>
                <c:pt idx="5">
                  <c:v>4600474.0599999996</c:v>
                </c:pt>
                <c:pt idx="6">
                  <c:v>6314530.4800000004</c:v>
                </c:pt>
                <c:pt idx="7">
                  <c:v>4342686.25</c:v>
                </c:pt>
                <c:pt idx="8">
                  <c:v>3422757.62</c:v>
                </c:pt>
                <c:pt idx="9">
                  <c:v>3868526.51</c:v>
                </c:pt>
                <c:pt idx="10">
                  <c:v>5502613.5099999998</c:v>
                </c:pt>
                <c:pt idx="11">
                  <c:v>4719598.41</c:v>
                </c:pt>
                <c:pt idx="12">
                  <c:v>2947592.95</c:v>
                </c:pt>
              </c:numCache>
            </c:numRef>
          </c:val>
          <c:smooth val="0"/>
          <c:extLst>
            <c:ext xmlns:c16="http://schemas.microsoft.com/office/drawing/2014/chart" uri="{C3380CC4-5D6E-409C-BE32-E72D297353CC}">
              <c16:uniqueId val="{00000001-EC1D-4E10-A360-B6AB9E2D44A0}"/>
            </c:ext>
          </c:extLst>
        </c:ser>
        <c:dLbls>
          <c:showLegendKey val="0"/>
          <c:showVal val="0"/>
          <c:showCatName val="0"/>
          <c:showSerName val="0"/>
          <c:showPercent val="0"/>
          <c:showBubbleSize val="0"/>
        </c:dLbls>
        <c:marker val="1"/>
        <c:smooth val="0"/>
        <c:axId val="1055401440"/>
        <c:axId val="1055409312"/>
      </c:lineChart>
      <c:catAx>
        <c:axId val="10554014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055409312"/>
        <c:crosses val="autoZero"/>
        <c:auto val="1"/>
        <c:lblAlgn val="ctr"/>
        <c:lblOffset val="100"/>
        <c:noMultiLvlLbl val="0"/>
      </c:catAx>
      <c:valAx>
        <c:axId val="1055409312"/>
        <c:scaling>
          <c:orientation val="minMax"/>
        </c:scaling>
        <c:delete val="1"/>
        <c:axPos val="l"/>
        <c:numFmt formatCode="#,##0.#,,\ &quot;M&quot;" sourceLinked="1"/>
        <c:majorTickMark val="none"/>
        <c:minorTickMark val="none"/>
        <c:tickLblPos val="nextTo"/>
        <c:crossAx val="105540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[MegaMart_Sales_1000Rows.xlsm]Data!PivotTable5</c:name>
    <c:fmtId val="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NORTH</a:t>
            </a:r>
            <a:r>
              <a:rPr lang="en-US" b="1" baseline="0">
                <a:solidFill>
                  <a:schemeClr val="tx1"/>
                </a:solidFill>
              </a:rPr>
              <a:t> REGION GENERATES REVENUE OF 23% &amp;  AND EAST 17% </a:t>
            </a:r>
            <a:endParaRPr lang="en-US" b="1">
              <a:solidFill>
                <a:schemeClr val="tx1"/>
              </a:solidFill>
            </a:endParaRPr>
          </a:p>
        </c:rich>
      </c:tx>
      <c:layout>
        <c:manualLayout>
          <c:xMode val="edge"/>
          <c:yMode val="edge"/>
          <c:x val="0.25031685228535616"/>
          <c:y val="8.9186910845329391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Data!$M$5</c:f>
              <c:strCache>
                <c:ptCount val="1"/>
                <c:pt idx="0">
                  <c:v>Sum of 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Data!$L$6:$L$10</c:f>
              <c:strCache>
                <c:ptCount val="5"/>
                <c:pt idx="0">
                  <c:v>Central</c:v>
                </c:pt>
                <c:pt idx="1">
                  <c:v>East</c:v>
                </c:pt>
                <c:pt idx="2">
                  <c:v>North</c:v>
                </c:pt>
                <c:pt idx="3">
                  <c:v>South</c:v>
                </c:pt>
                <c:pt idx="4">
                  <c:v>West</c:v>
                </c:pt>
              </c:strCache>
            </c:strRef>
          </c:cat>
          <c:val>
            <c:numRef>
              <c:f>Data!$M$6:$M$10</c:f>
              <c:numCache>
                <c:formatCode>0.0,,\ "M"</c:formatCode>
                <c:ptCount val="5"/>
                <c:pt idx="0">
                  <c:v>46525962.310000002</c:v>
                </c:pt>
                <c:pt idx="1">
                  <c:v>42130580.890000001</c:v>
                </c:pt>
                <c:pt idx="2">
                  <c:v>55219337.75</c:v>
                </c:pt>
                <c:pt idx="3">
                  <c:v>44977493.409999996</c:v>
                </c:pt>
                <c:pt idx="4">
                  <c:v>48364386.490000002</c:v>
                </c:pt>
              </c:numCache>
            </c:numRef>
          </c:val>
          <c:extLst>
            <c:ext xmlns:c16="http://schemas.microsoft.com/office/drawing/2014/chart" uri="{C3380CC4-5D6E-409C-BE32-E72D297353CC}">
              <c16:uniqueId val="{00000000-48E4-47CC-BB1C-A0B409B382AB}"/>
            </c:ext>
          </c:extLst>
        </c:ser>
        <c:ser>
          <c:idx val="1"/>
          <c:order val="1"/>
          <c:tx>
            <c:strRef>
              <c:f>Data!$N$5</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Data!$L$6:$L$10</c:f>
              <c:strCache>
                <c:ptCount val="5"/>
                <c:pt idx="0">
                  <c:v>Central</c:v>
                </c:pt>
                <c:pt idx="1">
                  <c:v>East</c:v>
                </c:pt>
                <c:pt idx="2">
                  <c:v>North</c:v>
                </c:pt>
                <c:pt idx="3">
                  <c:v>South</c:v>
                </c:pt>
                <c:pt idx="4">
                  <c:v>West</c:v>
                </c:pt>
              </c:strCache>
            </c:strRef>
          </c:cat>
          <c:val>
            <c:numRef>
              <c:f>Data!$N$6:$N$10</c:f>
              <c:numCache>
                <c:formatCode>0.0,,\ "M"</c:formatCode>
                <c:ptCount val="5"/>
                <c:pt idx="0">
                  <c:v>10933176.380000001</c:v>
                </c:pt>
                <c:pt idx="1">
                  <c:v>10668906.23</c:v>
                </c:pt>
                <c:pt idx="2">
                  <c:v>13435666.73</c:v>
                </c:pt>
                <c:pt idx="3">
                  <c:v>10945642.380000001</c:v>
                </c:pt>
                <c:pt idx="4">
                  <c:v>12016955.960000001</c:v>
                </c:pt>
              </c:numCache>
            </c:numRef>
          </c:val>
          <c:extLst>
            <c:ext xmlns:c16="http://schemas.microsoft.com/office/drawing/2014/chart" uri="{C3380CC4-5D6E-409C-BE32-E72D297353CC}">
              <c16:uniqueId val="{00000001-48E4-47CC-BB1C-A0B409B382AB}"/>
            </c:ext>
          </c:extLst>
        </c:ser>
        <c:dLbls>
          <c:showLegendKey val="0"/>
          <c:showVal val="0"/>
          <c:showCatName val="0"/>
          <c:showSerName val="0"/>
          <c:showPercent val="0"/>
          <c:showBubbleSize val="0"/>
        </c:dLbls>
        <c:gapWidth val="219"/>
        <c:overlap val="-27"/>
        <c:axId val="1055438176"/>
        <c:axId val="1055439488"/>
      </c:barChart>
      <c:catAx>
        <c:axId val="1055438176"/>
        <c:scaling>
          <c:orientation val="minMax"/>
        </c:scaling>
        <c:delete val="1"/>
        <c:axPos val="b"/>
        <c:numFmt formatCode="General" sourceLinked="1"/>
        <c:majorTickMark val="none"/>
        <c:minorTickMark val="none"/>
        <c:tickLblPos val="nextTo"/>
        <c:crossAx val="1055439488"/>
        <c:crosses val="autoZero"/>
        <c:auto val="1"/>
        <c:lblAlgn val="ctr"/>
        <c:lblOffset val="100"/>
        <c:noMultiLvlLbl val="0"/>
      </c:catAx>
      <c:valAx>
        <c:axId val="1055439488"/>
        <c:scaling>
          <c:orientation val="minMax"/>
        </c:scaling>
        <c:delete val="1"/>
        <c:axPos val="l"/>
        <c:numFmt formatCode="0.0,,\ &quot;M&quot;" sourceLinked="1"/>
        <c:majorTickMark val="none"/>
        <c:minorTickMark val="none"/>
        <c:tickLblPos val="nextTo"/>
        <c:crossAx val="105543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sz="1400" b="0" i="0" u="none" strike="noStrike" baseline="0">
                <a:solidFill>
                  <a:sysClr val="windowText" lastClr="000000">
                    <a:lumMod val="65000"/>
                    <a:lumOff val="35000"/>
                  </a:sysClr>
                </a:solidFill>
                <a:latin typeface="Calibri" panose="020F0502020204030204"/>
              </a:rPr>
              <a:t>revenu by category</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spPr>
            <a:solidFill>
              <a:schemeClr val="accent1"/>
            </a:solidFill>
            <a:ln>
              <a:solidFill>
                <a:schemeClr val="accent1"/>
              </a:solidFill>
            </a:ln>
          </c:spPr>
          <c:invertIfNegative val="0"/>
          <c:dPt>
            <c:idx val="0"/>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1-0281-449D-8B86-D7811B62815D}"/>
              </c:ext>
            </c:extLst>
          </c:dPt>
          <c:dPt>
            <c:idx val="1"/>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3-0281-449D-8B86-D7811B62815D}"/>
              </c:ext>
            </c:extLst>
          </c:dPt>
          <c:dPt>
            <c:idx val="2"/>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5-0281-449D-8B86-D7811B62815D}"/>
              </c:ext>
            </c:extLst>
          </c:dPt>
          <c:dPt>
            <c:idx val="3"/>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7-0281-449D-8B86-D7811B62815D}"/>
              </c:ext>
            </c:extLst>
          </c:dPt>
          <c:dPt>
            <c:idx val="4"/>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9-0281-449D-8B86-D7811B62815D}"/>
              </c:ext>
            </c:extLst>
          </c:dPt>
          <c:dPt>
            <c:idx val="5"/>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B-0281-449D-8B86-D7811B62815D}"/>
              </c:ext>
            </c:extLst>
          </c:dPt>
          <c:dPt>
            <c:idx val="6"/>
            <c:invertIfNegative val="0"/>
            <c:bubble3D val="0"/>
            <c:spPr>
              <a:solidFill>
                <a:schemeClr val="accent1"/>
              </a:solidFill>
              <a:ln>
                <a:solidFill>
                  <a:schemeClr val="accent1"/>
                </a:solidFill>
              </a:ln>
              <a:effectLst/>
            </c:spPr>
            <c:extLst>
              <c:ext xmlns:c16="http://schemas.microsoft.com/office/drawing/2014/chart" uri="{C3380CC4-5D6E-409C-BE32-E72D297353CC}">
                <c16:uniqueId val="{0000000D-0281-449D-8B86-D7811B62815D}"/>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Data!$D$84:$D$90</c:f>
              <c:strCache>
                <c:ptCount val="7"/>
                <c:pt idx="0">
                  <c:v>TV</c:v>
                </c:pt>
                <c:pt idx="1">
                  <c:v>Laptop</c:v>
                </c:pt>
                <c:pt idx="2">
                  <c:v>AC</c:v>
                </c:pt>
                <c:pt idx="3">
                  <c:v>Mobile</c:v>
                </c:pt>
                <c:pt idx="4">
                  <c:v>Washing Machine</c:v>
                </c:pt>
                <c:pt idx="5">
                  <c:v>Microwave</c:v>
                </c:pt>
                <c:pt idx="6">
                  <c:v>Refrigerator</c:v>
                </c:pt>
              </c:strCache>
            </c:strRef>
          </c:cat>
          <c:val>
            <c:numRef>
              <c:f>Data!$E$84:$E$90</c:f>
              <c:numCache>
                <c:formatCode>#,##0.#,,\ "M"</c:formatCode>
                <c:ptCount val="7"/>
                <c:pt idx="0">
                  <c:v>52758762.670000002</c:v>
                </c:pt>
                <c:pt idx="1">
                  <c:v>52590153.07</c:v>
                </c:pt>
                <c:pt idx="2">
                  <c:v>50645984.079999998</c:v>
                </c:pt>
                <c:pt idx="3">
                  <c:v>43417110.219999999</c:v>
                </c:pt>
                <c:pt idx="4">
                  <c:v>12997504.220000001</c:v>
                </c:pt>
                <c:pt idx="5">
                  <c:v>12896630.029999999</c:v>
                </c:pt>
                <c:pt idx="6">
                  <c:v>11911616.560000001</c:v>
                </c:pt>
              </c:numCache>
            </c:numRef>
          </c:val>
          <c:extLst>
            <c:ext xmlns:c16="http://schemas.microsoft.com/office/drawing/2014/chart" uri="{C3380CC4-5D6E-409C-BE32-E72D297353CC}">
              <c16:uniqueId val="{00000000-5F10-479A-A9FC-A12802DC82F2}"/>
            </c:ext>
          </c:extLst>
        </c:ser>
        <c:dLbls>
          <c:showLegendKey val="0"/>
          <c:showVal val="1"/>
          <c:showCatName val="0"/>
          <c:showSerName val="0"/>
          <c:showPercent val="0"/>
          <c:showBubbleSize val="0"/>
        </c:dLbls>
        <c:gapWidth val="6"/>
        <c:axId val="430716512"/>
        <c:axId val="430715200"/>
      </c:barChart>
      <c:catAx>
        <c:axId val="43071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baseline="0">
                <a:solidFill>
                  <a:schemeClr val="tx1"/>
                </a:solidFill>
                <a:latin typeface="+mn-lt"/>
                <a:ea typeface="+mn-ea"/>
                <a:cs typeface="+mn-cs"/>
              </a:defRPr>
            </a:pPr>
            <a:endParaRPr lang="en-US"/>
          </a:p>
        </c:txPr>
        <c:crossAx val="430715200"/>
        <c:crosses val="autoZero"/>
        <c:auto val="1"/>
        <c:lblAlgn val="ctr"/>
        <c:lblOffset val="100"/>
        <c:noMultiLvlLbl val="0"/>
      </c:catAx>
      <c:valAx>
        <c:axId val="430715200"/>
        <c:scaling>
          <c:orientation val="minMax"/>
        </c:scaling>
        <c:delete val="1"/>
        <c:axPos val="l"/>
        <c:numFmt formatCode="#,##0.#,,\ &quot;M&quot;" sourceLinked="1"/>
        <c:majorTickMark val="none"/>
        <c:minorTickMark val="none"/>
        <c:tickLblPos val="nextTo"/>
        <c:crossAx val="43071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[MegaMart_Sales_1000Rows.xlsm]Data!PivotTable36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 CUSTOMERS BY REVENUE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horzOverflow="clip" vert="horz" wrap="square" lIns="27432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horzOverflow="clip" vert="horz" wrap="square" lIns="27432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horzOverflow="clip" vert="horz" wrap="square" lIns="27432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barChart>
        <c:barDir val="col"/>
        <c:grouping val="clustered"/>
        <c:varyColors val="0"/>
        <c:ser>
          <c:idx val="0"/>
          <c:order val="0"/>
          <c:tx>
            <c:strRef>
              <c:f>Data!$C$103</c:f>
              <c:strCache>
                <c:ptCount val="1"/>
                <c:pt idx="0">
                  <c:v>Sum of 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Data!$B$104:$B$113</c:f>
              <c:strCache>
                <c:ptCount val="10"/>
                <c:pt idx="0">
                  <c:v>Anthony Gardner</c:v>
                </c:pt>
                <c:pt idx="1">
                  <c:v>Brenda Mcgrath</c:v>
                </c:pt>
                <c:pt idx="2">
                  <c:v>Jasmin Bowman</c:v>
                </c:pt>
                <c:pt idx="3">
                  <c:v>Jessica Johnson</c:v>
                </c:pt>
                <c:pt idx="4">
                  <c:v>John Ryan</c:v>
                </c:pt>
                <c:pt idx="5">
                  <c:v>Kristin Morgan</c:v>
                </c:pt>
                <c:pt idx="6">
                  <c:v>Melanie Jackson</c:v>
                </c:pt>
                <c:pt idx="7">
                  <c:v>Michael Waters</c:v>
                </c:pt>
                <c:pt idx="8">
                  <c:v>Pamela Underwood</c:v>
                </c:pt>
                <c:pt idx="9">
                  <c:v>Ryan Williams</c:v>
                </c:pt>
              </c:strCache>
            </c:strRef>
          </c:cat>
          <c:val>
            <c:numRef>
              <c:f>Data!$C$104:$C$113</c:f>
              <c:numCache>
                <c:formatCode>0,\ "K"</c:formatCode>
                <c:ptCount val="10"/>
                <c:pt idx="0">
                  <c:v>987697.3</c:v>
                </c:pt>
                <c:pt idx="1">
                  <c:v>918442</c:v>
                </c:pt>
                <c:pt idx="2">
                  <c:v>954061.2</c:v>
                </c:pt>
                <c:pt idx="3">
                  <c:v>982152.1</c:v>
                </c:pt>
                <c:pt idx="4">
                  <c:v>930971.85</c:v>
                </c:pt>
                <c:pt idx="5">
                  <c:v>977750.05</c:v>
                </c:pt>
                <c:pt idx="6">
                  <c:v>976763.65</c:v>
                </c:pt>
                <c:pt idx="7">
                  <c:v>985107.9</c:v>
                </c:pt>
                <c:pt idx="8">
                  <c:v>928523.55</c:v>
                </c:pt>
                <c:pt idx="9">
                  <c:v>909367.2</c:v>
                </c:pt>
              </c:numCache>
            </c:numRef>
          </c:val>
          <c:extLst>
            <c:ext xmlns:c16="http://schemas.microsoft.com/office/drawing/2014/chart" uri="{C3380CC4-5D6E-409C-BE32-E72D297353CC}">
              <c16:uniqueId val="{00000000-FE87-4579-BF88-25589CCC2BD3}"/>
            </c:ext>
          </c:extLst>
        </c:ser>
        <c:ser>
          <c:idx val="1"/>
          <c:order val="1"/>
          <c:tx>
            <c:strRef>
              <c:f>Data!$D$103</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horzOverflow="clip" vert="horz" wrap="square" lIns="27432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Data!$B$104:$B$113</c:f>
              <c:strCache>
                <c:ptCount val="10"/>
                <c:pt idx="0">
                  <c:v>Anthony Gardner</c:v>
                </c:pt>
                <c:pt idx="1">
                  <c:v>Brenda Mcgrath</c:v>
                </c:pt>
                <c:pt idx="2">
                  <c:v>Jasmin Bowman</c:v>
                </c:pt>
                <c:pt idx="3">
                  <c:v>Jessica Johnson</c:v>
                </c:pt>
                <c:pt idx="4">
                  <c:v>John Ryan</c:v>
                </c:pt>
                <c:pt idx="5">
                  <c:v>Kristin Morgan</c:v>
                </c:pt>
                <c:pt idx="6">
                  <c:v>Melanie Jackson</c:v>
                </c:pt>
                <c:pt idx="7">
                  <c:v>Michael Waters</c:v>
                </c:pt>
                <c:pt idx="8">
                  <c:v>Pamela Underwood</c:v>
                </c:pt>
                <c:pt idx="9">
                  <c:v>Ryan Williams</c:v>
                </c:pt>
              </c:strCache>
            </c:strRef>
          </c:cat>
          <c:val>
            <c:numRef>
              <c:f>Data!$D$104:$D$113</c:f>
              <c:numCache>
                <c:formatCode>0,\ "K"</c:formatCode>
                <c:ptCount val="10"/>
                <c:pt idx="0">
                  <c:v>360405.38</c:v>
                </c:pt>
                <c:pt idx="1">
                  <c:v>115638.67</c:v>
                </c:pt>
                <c:pt idx="2">
                  <c:v>330183.09999999998</c:v>
                </c:pt>
                <c:pt idx="3">
                  <c:v>244807.14</c:v>
                </c:pt>
                <c:pt idx="4">
                  <c:v>154179.01</c:v>
                </c:pt>
                <c:pt idx="5">
                  <c:v>321830.42</c:v>
                </c:pt>
                <c:pt idx="6">
                  <c:v>233191.73</c:v>
                </c:pt>
                <c:pt idx="7">
                  <c:v>338888.91</c:v>
                </c:pt>
                <c:pt idx="8">
                  <c:v>241483.38</c:v>
                </c:pt>
                <c:pt idx="9">
                  <c:v>155461.38</c:v>
                </c:pt>
              </c:numCache>
            </c:numRef>
          </c:val>
          <c:extLst>
            <c:ext xmlns:c16="http://schemas.microsoft.com/office/drawing/2014/chart" uri="{C3380CC4-5D6E-409C-BE32-E72D297353CC}">
              <c16:uniqueId val="{00000001-FE87-4579-BF88-25589CCC2BD3}"/>
            </c:ext>
          </c:extLst>
        </c:ser>
        <c:dLbls>
          <c:showLegendKey val="0"/>
          <c:showVal val="0"/>
          <c:showCatName val="0"/>
          <c:showSerName val="0"/>
          <c:showPercent val="0"/>
          <c:showBubbleSize val="0"/>
        </c:dLbls>
        <c:gapWidth val="219"/>
        <c:overlap val="-27"/>
        <c:axId val="1201996760"/>
        <c:axId val="1206233792"/>
      </c:barChart>
      <c:catAx>
        <c:axId val="120199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206233792"/>
        <c:crosses val="autoZero"/>
        <c:auto val="1"/>
        <c:lblAlgn val="ctr"/>
        <c:lblOffset val="100"/>
        <c:noMultiLvlLbl val="0"/>
      </c:catAx>
      <c:valAx>
        <c:axId val="1206233792"/>
        <c:scaling>
          <c:orientation val="minMax"/>
        </c:scaling>
        <c:delete val="1"/>
        <c:axPos val="l"/>
        <c:numFmt formatCode="0,\ &quot;K&quot;" sourceLinked="1"/>
        <c:majorTickMark val="none"/>
        <c:minorTickMark val="none"/>
        <c:tickLblPos val="nextTo"/>
        <c:crossAx val="1201996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a:t>
            </a:r>
            <a:r>
              <a:rPr lang="en-US" baseline="0"/>
              <a:t> u e&amp; profit by months</a:t>
            </a:r>
            <a:endParaRPr lang="en-US"/>
          </a:p>
        </c:rich>
      </c:tx>
      <c:overlay val="0"/>
      <c:spPr>
        <a:noFill/>
        <a:ln>
          <a:noFill/>
        </a:ln>
        <a:effectLst/>
      </c:sp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9144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91440" rIns="27432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lineChart>
        <c:grouping val="standard"/>
        <c:varyColors val="0"/>
        <c:ser>
          <c:idx val="0"/>
          <c:order val="0"/>
          <c:tx>
            <c:strRef>
              <c:f>Data!$I$5</c:f>
              <c:strCache>
                <c:ptCount val="1"/>
                <c:pt idx="0">
                  <c:v>Sum of 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9144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Data!$H$6:$H$20</c:f>
              <c:multiLvlStrCache>
                <c:ptCount val="13"/>
                <c:lvl>
                  <c:pt idx="0">
                    <c:v>Jun</c:v>
                  </c:pt>
                  <c:pt idx="1">
                    <c:v>Jul</c:v>
                  </c:pt>
                  <c:pt idx="2">
                    <c:v>Aug</c:v>
                  </c:pt>
                  <c:pt idx="3">
                    <c:v>Sep</c:v>
                  </c:pt>
                  <c:pt idx="4">
                    <c:v>Oct</c:v>
                  </c:pt>
                  <c:pt idx="5">
                    <c:v>Nov</c:v>
                  </c:pt>
                  <c:pt idx="6">
                    <c:v>Dec</c:v>
                  </c:pt>
                  <c:pt idx="7">
                    <c:v>Jan</c:v>
                  </c:pt>
                  <c:pt idx="8">
                    <c:v>Feb</c:v>
                  </c:pt>
                  <c:pt idx="9">
                    <c:v>Mar</c:v>
                  </c:pt>
                  <c:pt idx="10">
                    <c:v>Apr</c:v>
                  </c:pt>
                  <c:pt idx="11">
                    <c:v>May</c:v>
                  </c:pt>
                  <c:pt idx="12">
                    <c:v>Jun</c:v>
                  </c:pt>
                </c:lvl>
                <c:lvl>
                  <c:pt idx="0">
                    <c:v>2024</c:v>
                  </c:pt>
                  <c:pt idx="7">
                    <c:v>2025</c:v>
                  </c:pt>
                </c:lvl>
              </c:multiLvlStrCache>
            </c:multiLvlStrRef>
          </c:cat>
          <c:val>
            <c:numRef>
              <c:f>Data!$I$6:$I$20</c:f>
              <c:numCache>
                <c:formatCode>#,##0.#,,\ "M"</c:formatCode>
                <c:ptCount val="13"/>
                <c:pt idx="0">
                  <c:v>5473945.3200000003</c:v>
                </c:pt>
                <c:pt idx="1">
                  <c:v>19396859.32</c:v>
                </c:pt>
                <c:pt idx="2">
                  <c:v>17956109.960000001</c:v>
                </c:pt>
                <c:pt idx="3">
                  <c:v>19885236.52</c:v>
                </c:pt>
                <c:pt idx="4">
                  <c:v>23336780.510000002</c:v>
                </c:pt>
                <c:pt idx="5">
                  <c:v>20134764.210000001</c:v>
                </c:pt>
                <c:pt idx="6">
                  <c:v>23937518.379999999</c:v>
                </c:pt>
                <c:pt idx="7">
                  <c:v>19108908.66</c:v>
                </c:pt>
                <c:pt idx="8">
                  <c:v>15251763.279999999</c:v>
                </c:pt>
                <c:pt idx="9">
                  <c:v>16900547.670000002</c:v>
                </c:pt>
                <c:pt idx="10">
                  <c:v>23531427.170000002</c:v>
                </c:pt>
                <c:pt idx="11">
                  <c:v>18966022.620000001</c:v>
                </c:pt>
                <c:pt idx="12">
                  <c:v>13337877.23</c:v>
                </c:pt>
              </c:numCache>
            </c:numRef>
          </c:val>
          <c:smooth val="0"/>
          <c:extLst>
            <c:ext xmlns:c16="http://schemas.microsoft.com/office/drawing/2014/chart" uri="{C3380CC4-5D6E-409C-BE32-E72D297353CC}">
              <c16:uniqueId val="{00000000-675E-4C4E-81D8-3C4643C65BFC}"/>
            </c:ext>
          </c:extLst>
        </c:ser>
        <c:ser>
          <c:idx val="1"/>
          <c:order val="1"/>
          <c:tx>
            <c:strRef>
              <c:f>Data!$J$5</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91440" rIns="27432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Data!$H$6:$H$20</c:f>
              <c:multiLvlStrCache>
                <c:ptCount val="13"/>
                <c:lvl>
                  <c:pt idx="0">
                    <c:v>Jun</c:v>
                  </c:pt>
                  <c:pt idx="1">
                    <c:v>Jul</c:v>
                  </c:pt>
                  <c:pt idx="2">
                    <c:v>Aug</c:v>
                  </c:pt>
                  <c:pt idx="3">
                    <c:v>Sep</c:v>
                  </c:pt>
                  <c:pt idx="4">
                    <c:v>Oct</c:v>
                  </c:pt>
                  <c:pt idx="5">
                    <c:v>Nov</c:v>
                  </c:pt>
                  <c:pt idx="6">
                    <c:v>Dec</c:v>
                  </c:pt>
                  <c:pt idx="7">
                    <c:v>Jan</c:v>
                  </c:pt>
                  <c:pt idx="8">
                    <c:v>Feb</c:v>
                  </c:pt>
                  <c:pt idx="9">
                    <c:v>Mar</c:v>
                  </c:pt>
                  <c:pt idx="10">
                    <c:v>Apr</c:v>
                  </c:pt>
                  <c:pt idx="11">
                    <c:v>May</c:v>
                  </c:pt>
                  <c:pt idx="12">
                    <c:v>Jun</c:v>
                  </c:pt>
                </c:lvl>
                <c:lvl>
                  <c:pt idx="0">
                    <c:v>2024</c:v>
                  </c:pt>
                  <c:pt idx="7">
                    <c:v>2025</c:v>
                  </c:pt>
                </c:lvl>
              </c:multiLvlStrCache>
            </c:multiLvlStrRef>
          </c:cat>
          <c:val>
            <c:numRef>
              <c:f>Data!$J$6:$J$20</c:f>
              <c:numCache>
                <c:formatCode>#,##0.#,,\ "M"</c:formatCode>
                <c:ptCount val="13"/>
                <c:pt idx="0">
                  <c:v>1210423.72</c:v>
                </c:pt>
                <c:pt idx="1">
                  <c:v>5178507.3099999996</c:v>
                </c:pt>
                <c:pt idx="2">
                  <c:v>4840060.75</c:v>
                </c:pt>
                <c:pt idx="3">
                  <c:v>4777429.97</c:v>
                </c:pt>
                <c:pt idx="4">
                  <c:v>6275146.1399999997</c:v>
                </c:pt>
                <c:pt idx="5">
                  <c:v>4600474.0599999996</c:v>
                </c:pt>
                <c:pt idx="6">
                  <c:v>6314530.4800000004</c:v>
                </c:pt>
                <c:pt idx="7">
                  <c:v>4342686.25</c:v>
                </c:pt>
                <c:pt idx="8">
                  <c:v>3422757.62</c:v>
                </c:pt>
                <c:pt idx="9">
                  <c:v>3868526.51</c:v>
                </c:pt>
                <c:pt idx="10">
                  <c:v>5502613.5099999998</c:v>
                </c:pt>
                <c:pt idx="11">
                  <c:v>4719598.41</c:v>
                </c:pt>
                <c:pt idx="12">
                  <c:v>2947592.95</c:v>
                </c:pt>
              </c:numCache>
            </c:numRef>
          </c:val>
          <c:smooth val="0"/>
          <c:extLst>
            <c:ext xmlns:c16="http://schemas.microsoft.com/office/drawing/2014/chart" uri="{C3380CC4-5D6E-409C-BE32-E72D297353CC}">
              <c16:uniqueId val="{00000002-675E-4C4E-81D8-3C4643C65BFC}"/>
            </c:ext>
          </c:extLst>
        </c:ser>
        <c:dLbls>
          <c:showLegendKey val="0"/>
          <c:showVal val="0"/>
          <c:showCatName val="0"/>
          <c:showSerName val="0"/>
          <c:showPercent val="0"/>
          <c:showBubbleSize val="0"/>
        </c:dLbls>
        <c:marker val="1"/>
        <c:smooth val="0"/>
        <c:axId val="1055401440"/>
        <c:axId val="1055409312"/>
      </c:lineChart>
      <c:catAx>
        <c:axId val="105540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409312"/>
        <c:crosses val="autoZero"/>
        <c:auto val="1"/>
        <c:lblAlgn val="ctr"/>
        <c:lblOffset val="100"/>
        <c:noMultiLvlLbl val="0"/>
      </c:catAx>
      <c:valAx>
        <c:axId val="1055409312"/>
        <c:scaling>
          <c:orientation val="minMax"/>
        </c:scaling>
        <c:delete val="1"/>
        <c:axPos val="l"/>
        <c:numFmt formatCode="#,##0.#,,\ &quot;M&quot;" sourceLinked="1"/>
        <c:majorTickMark val="none"/>
        <c:minorTickMark val="none"/>
        <c:tickLblPos val="nextTo"/>
        <c:crossAx val="105540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&amp; profit</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Data!$M$5</c:f>
              <c:strCache>
                <c:ptCount val="1"/>
                <c:pt idx="0">
                  <c:v>Sum of Total Sales</c:v>
                </c:pt>
              </c:strCache>
            </c:strRef>
          </c:tx>
          <c:spPr>
            <a:solidFill>
              <a:schemeClr val="accent1"/>
            </a:solidFill>
            <a:ln>
              <a:noFill/>
            </a:ln>
            <a:effectLst/>
          </c:spPr>
          <c:invertIfNegative val="0"/>
          <c:cat>
            <c:strRef>
              <c:f>Data!$L$6:$L$10</c:f>
              <c:strCache>
                <c:ptCount val="5"/>
                <c:pt idx="0">
                  <c:v>Central</c:v>
                </c:pt>
                <c:pt idx="1">
                  <c:v>East</c:v>
                </c:pt>
                <c:pt idx="2">
                  <c:v>North</c:v>
                </c:pt>
                <c:pt idx="3">
                  <c:v>South</c:v>
                </c:pt>
                <c:pt idx="4">
                  <c:v>West</c:v>
                </c:pt>
              </c:strCache>
            </c:strRef>
          </c:cat>
          <c:val>
            <c:numRef>
              <c:f>Data!$M$6:$M$10</c:f>
              <c:numCache>
                <c:formatCode>0.0,,\ "M"</c:formatCode>
                <c:ptCount val="5"/>
                <c:pt idx="0">
                  <c:v>46525962.310000002</c:v>
                </c:pt>
                <c:pt idx="1">
                  <c:v>42130580.890000001</c:v>
                </c:pt>
                <c:pt idx="2">
                  <c:v>55219337.75</c:v>
                </c:pt>
                <c:pt idx="3">
                  <c:v>44977493.409999996</c:v>
                </c:pt>
                <c:pt idx="4">
                  <c:v>48364386.490000002</c:v>
                </c:pt>
              </c:numCache>
            </c:numRef>
          </c:val>
          <c:extLst>
            <c:ext xmlns:c16="http://schemas.microsoft.com/office/drawing/2014/chart" uri="{C3380CC4-5D6E-409C-BE32-E72D297353CC}">
              <c16:uniqueId val="{00000000-9B81-4BC5-84EB-D2567134594B}"/>
            </c:ext>
          </c:extLst>
        </c:ser>
        <c:ser>
          <c:idx val="1"/>
          <c:order val="1"/>
          <c:tx>
            <c:strRef>
              <c:f>Data!$N$5</c:f>
              <c:strCache>
                <c:ptCount val="1"/>
                <c:pt idx="0">
                  <c:v>Sum of Profit</c:v>
                </c:pt>
              </c:strCache>
            </c:strRef>
          </c:tx>
          <c:spPr>
            <a:solidFill>
              <a:schemeClr val="accent2"/>
            </a:solidFill>
            <a:ln>
              <a:noFill/>
            </a:ln>
            <a:effectLst/>
          </c:spPr>
          <c:invertIfNegative val="0"/>
          <c:cat>
            <c:strRef>
              <c:f>Data!$L$6:$L$10</c:f>
              <c:strCache>
                <c:ptCount val="5"/>
                <c:pt idx="0">
                  <c:v>Central</c:v>
                </c:pt>
                <c:pt idx="1">
                  <c:v>East</c:v>
                </c:pt>
                <c:pt idx="2">
                  <c:v>North</c:v>
                </c:pt>
                <c:pt idx="3">
                  <c:v>South</c:v>
                </c:pt>
                <c:pt idx="4">
                  <c:v>West</c:v>
                </c:pt>
              </c:strCache>
            </c:strRef>
          </c:cat>
          <c:val>
            <c:numRef>
              <c:f>Data!$N$6:$N$10</c:f>
              <c:numCache>
                <c:formatCode>0.0,,\ "M"</c:formatCode>
                <c:ptCount val="5"/>
                <c:pt idx="0">
                  <c:v>10933176.380000001</c:v>
                </c:pt>
                <c:pt idx="1">
                  <c:v>10668906.23</c:v>
                </c:pt>
                <c:pt idx="2">
                  <c:v>13435666.73</c:v>
                </c:pt>
                <c:pt idx="3">
                  <c:v>10945642.380000001</c:v>
                </c:pt>
                <c:pt idx="4">
                  <c:v>12016955.960000001</c:v>
                </c:pt>
              </c:numCache>
            </c:numRef>
          </c:val>
          <c:extLst>
            <c:ext xmlns:c16="http://schemas.microsoft.com/office/drawing/2014/chart" uri="{C3380CC4-5D6E-409C-BE32-E72D297353CC}">
              <c16:uniqueId val="{00000002-9B81-4BC5-84EB-D2567134594B}"/>
            </c:ext>
          </c:extLst>
        </c:ser>
        <c:dLbls>
          <c:showLegendKey val="0"/>
          <c:showVal val="0"/>
          <c:showCatName val="0"/>
          <c:showSerName val="0"/>
          <c:showPercent val="0"/>
          <c:showBubbleSize val="0"/>
        </c:dLbls>
        <c:gapWidth val="219"/>
        <c:overlap val="-27"/>
        <c:axId val="1055438176"/>
        <c:axId val="1055439488"/>
      </c:barChart>
      <c:catAx>
        <c:axId val="105543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439488"/>
        <c:crosses val="autoZero"/>
        <c:auto val="1"/>
        <c:lblAlgn val="ctr"/>
        <c:lblOffset val="100"/>
        <c:noMultiLvlLbl val="0"/>
      </c:catAx>
      <c:valAx>
        <c:axId val="1055439488"/>
        <c:scaling>
          <c:orientation val="minMax"/>
        </c:scaling>
        <c:delete val="0"/>
        <c:axPos val="l"/>
        <c:majorGridlines>
          <c:spPr>
            <a:ln w="9525" cap="flat" cmpd="sng" algn="ctr">
              <a:solidFill>
                <a:schemeClr val="tx1">
                  <a:lumMod val="15000"/>
                  <a:lumOff val="85000"/>
                </a:schemeClr>
              </a:solidFill>
              <a:round/>
            </a:ln>
            <a:effectLst/>
          </c:spPr>
        </c:majorGridlines>
        <c:numFmt formatCode="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43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sz="1400" b="0" i="0" u="none" strike="noStrike" baseline="0">
                <a:solidFill>
                  <a:sysClr val="windowText" lastClr="000000">
                    <a:lumMod val="65000"/>
                    <a:lumOff val="35000"/>
                  </a:sysClr>
                </a:solidFill>
                <a:latin typeface="Calibri" panose="020F0502020204030204"/>
              </a:rPr>
              <a:t>revenu by category</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Data!$D$84:$D$90</c:f>
              <c:strCache>
                <c:ptCount val="7"/>
                <c:pt idx="0">
                  <c:v>TV</c:v>
                </c:pt>
                <c:pt idx="1">
                  <c:v>Laptop</c:v>
                </c:pt>
                <c:pt idx="2">
                  <c:v>AC</c:v>
                </c:pt>
                <c:pt idx="3">
                  <c:v>Mobile</c:v>
                </c:pt>
                <c:pt idx="4">
                  <c:v>Washing Machine</c:v>
                </c:pt>
                <c:pt idx="5">
                  <c:v>Microwave</c:v>
                </c:pt>
                <c:pt idx="6">
                  <c:v>Refrigerator</c:v>
                </c:pt>
              </c:strCache>
            </c:strRef>
          </c:cat>
          <c:val>
            <c:numRef>
              <c:f>Data!$E$84:$E$90</c:f>
              <c:numCache>
                <c:formatCode>#,##0.#,,\ "M"</c:formatCode>
                <c:ptCount val="7"/>
                <c:pt idx="0">
                  <c:v>52758762.670000002</c:v>
                </c:pt>
                <c:pt idx="1">
                  <c:v>52590153.07</c:v>
                </c:pt>
                <c:pt idx="2">
                  <c:v>50645984.079999998</c:v>
                </c:pt>
                <c:pt idx="3">
                  <c:v>43417110.219999999</c:v>
                </c:pt>
                <c:pt idx="4">
                  <c:v>12997504.220000001</c:v>
                </c:pt>
                <c:pt idx="5">
                  <c:v>12896630.029999999</c:v>
                </c:pt>
                <c:pt idx="6">
                  <c:v>11911616.560000001</c:v>
                </c:pt>
              </c:numCache>
            </c:numRef>
          </c:val>
          <c:extLst>
            <c:ext xmlns:c16="http://schemas.microsoft.com/office/drawing/2014/chart" uri="{C3380CC4-5D6E-409C-BE32-E72D297353CC}">
              <c16:uniqueId val="{00000000-D007-4E2E-8E51-96F3788207A6}"/>
            </c:ext>
          </c:extLst>
        </c:ser>
        <c:dLbls>
          <c:showLegendKey val="0"/>
          <c:showVal val="1"/>
          <c:showCatName val="0"/>
          <c:showSerName val="0"/>
          <c:showPercent val="0"/>
          <c:showBubbleSize val="0"/>
        </c:dLbls>
        <c:gapWidth val="6"/>
        <c:axId val="430716512"/>
        <c:axId val="430715200"/>
      </c:barChart>
      <c:catAx>
        <c:axId val="43071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430715200"/>
        <c:crosses val="autoZero"/>
        <c:auto val="1"/>
        <c:lblAlgn val="ctr"/>
        <c:lblOffset val="100"/>
        <c:noMultiLvlLbl val="0"/>
      </c:catAx>
      <c:valAx>
        <c:axId val="430715200"/>
        <c:scaling>
          <c:orientation val="minMax"/>
        </c:scaling>
        <c:delete val="1"/>
        <c:axPos val="l"/>
        <c:majorGridlines>
          <c:spPr>
            <a:ln w="9525" cap="flat" cmpd="sng" algn="ctr">
              <a:solidFill>
                <a:schemeClr val="tx1">
                  <a:lumMod val="15000"/>
                  <a:lumOff val="85000"/>
                </a:schemeClr>
              </a:solidFill>
              <a:round/>
            </a:ln>
            <a:effectLst/>
          </c:spPr>
        </c:majorGridlines>
        <c:numFmt formatCode="#,##0.#,,\ &quot;M&quot;" sourceLinked="1"/>
        <c:majorTickMark val="none"/>
        <c:minorTickMark val="none"/>
        <c:tickLblPos val="nextTo"/>
        <c:crossAx val="43071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[MegaMart_Sales_1000Rows.xlsm]Data!PivotTable36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customers revenue and profit</a:t>
            </a:r>
            <a:endParaRPr lang="en-US"/>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27432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Data!$C$103</c:f>
              <c:strCache>
                <c:ptCount val="1"/>
                <c:pt idx="0">
                  <c:v>Sum of 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Data!$B$104:$B$113</c:f>
              <c:strCache>
                <c:ptCount val="10"/>
                <c:pt idx="0">
                  <c:v>Anthony Gardner</c:v>
                </c:pt>
                <c:pt idx="1">
                  <c:v>Brenda Mcgrath</c:v>
                </c:pt>
                <c:pt idx="2">
                  <c:v>Jasmin Bowman</c:v>
                </c:pt>
                <c:pt idx="3">
                  <c:v>Jessica Johnson</c:v>
                </c:pt>
                <c:pt idx="4">
                  <c:v>John Ryan</c:v>
                </c:pt>
                <c:pt idx="5">
                  <c:v>Kristin Morgan</c:v>
                </c:pt>
                <c:pt idx="6">
                  <c:v>Melanie Jackson</c:v>
                </c:pt>
                <c:pt idx="7">
                  <c:v>Michael Waters</c:v>
                </c:pt>
                <c:pt idx="8">
                  <c:v>Pamela Underwood</c:v>
                </c:pt>
                <c:pt idx="9">
                  <c:v>Ryan Williams</c:v>
                </c:pt>
              </c:strCache>
            </c:strRef>
          </c:cat>
          <c:val>
            <c:numRef>
              <c:f>Data!$C$104:$C$113</c:f>
              <c:numCache>
                <c:formatCode>0,\ "K"</c:formatCode>
                <c:ptCount val="10"/>
                <c:pt idx="0">
                  <c:v>987697.3</c:v>
                </c:pt>
                <c:pt idx="1">
                  <c:v>918442</c:v>
                </c:pt>
                <c:pt idx="2">
                  <c:v>954061.2</c:v>
                </c:pt>
                <c:pt idx="3">
                  <c:v>982152.1</c:v>
                </c:pt>
                <c:pt idx="4">
                  <c:v>930971.85</c:v>
                </c:pt>
                <c:pt idx="5">
                  <c:v>977750.05</c:v>
                </c:pt>
                <c:pt idx="6">
                  <c:v>976763.65</c:v>
                </c:pt>
                <c:pt idx="7">
                  <c:v>985107.9</c:v>
                </c:pt>
                <c:pt idx="8">
                  <c:v>928523.55</c:v>
                </c:pt>
                <c:pt idx="9">
                  <c:v>909367.2</c:v>
                </c:pt>
              </c:numCache>
            </c:numRef>
          </c:val>
          <c:extLst>
            <c:ext xmlns:c16="http://schemas.microsoft.com/office/drawing/2014/chart" uri="{C3380CC4-5D6E-409C-BE32-E72D297353CC}">
              <c16:uniqueId val="{00000000-988C-4DAF-BBB3-8C0B41AA9510}"/>
            </c:ext>
          </c:extLst>
        </c:ser>
        <c:ser>
          <c:idx val="1"/>
          <c:order val="1"/>
          <c:tx>
            <c:strRef>
              <c:f>Data!$D$103</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27432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Data!$B$104:$B$113</c:f>
              <c:strCache>
                <c:ptCount val="10"/>
                <c:pt idx="0">
                  <c:v>Anthony Gardner</c:v>
                </c:pt>
                <c:pt idx="1">
                  <c:v>Brenda Mcgrath</c:v>
                </c:pt>
                <c:pt idx="2">
                  <c:v>Jasmin Bowman</c:v>
                </c:pt>
                <c:pt idx="3">
                  <c:v>Jessica Johnson</c:v>
                </c:pt>
                <c:pt idx="4">
                  <c:v>John Ryan</c:v>
                </c:pt>
                <c:pt idx="5">
                  <c:v>Kristin Morgan</c:v>
                </c:pt>
                <c:pt idx="6">
                  <c:v>Melanie Jackson</c:v>
                </c:pt>
                <c:pt idx="7">
                  <c:v>Michael Waters</c:v>
                </c:pt>
                <c:pt idx="8">
                  <c:v>Pamela Underwood</c:v>
                </c:pt>
                <c:pt idx="9">
                  <c:v>Ryan Williams</c:v>
                </c:pt>
              </c:strCache>
            </c:strRef>
          </c:cat>
          <c:val>
            <c:numRef>
              <c:f>Data!$D$104:$D$113</c:f>
              <c:numCache>
                <c:formatCode>0,\ "K"</c:formatCode>
                <c:ptCount val="10"/>
                <c:pt idx="0">
                  <c:v>360405.38</c:v>
                </c:pt>
                <c:pt idx="1">
                  <c:v>115638.67</c:v>
                </c:pt>
                <c:pt idx="2">
                  <c:v>330183.09999999998</c:v>
                </c:pt>
                <c:pt idx="3">
                  <c:v>244807.14</c:v>
                </c:pt>
                <c:pt idx="4">
                  <c:v>154179.01</c:v>
                </c:pt>
                <c:pt idx="5">
                  <c:v>321830.42</c:v>
                </c:pt>
                <c:pt idx="6">
                  <c:v>233191.73</c:v>
                </c:pt>
                <c:pt idx="7">
                  <c:v>338888.91</c:v>
                </c:pt>
                <c:pt idx="8">
                  <c:v>241483.38</c:v>
                </c:pt>
                <c:pt idx="9">
                  <c:v>155461.38</c:v>
                </c:pt>
              </c:numCache>
            </c:numRef>
          </c:val>
          <c:extLst>
            <c:ext xmlns:c16="http://schemas.microsoft.com/office/drawing/2014/chart" uri="{C3380CC4-5D6E-409C-BE32-E72D297353CC}">
              <c16:uniqueId val="{00000002-988C-4DAF-BBB3-8C0B41AA9510}"/>
            </c:ext>
          </c:extLst>
        </c:ser>
        <c:dLbls>
          <c:showLegendKey val="0"/>
          <c:showVal val="0"/>
          <c:showCatName val="0"/>
          <c:showSerName val="0"/>
          <c:showPercent val="0"/>
          <c:showBubbleSize val="0"/>
        </c:dLbls>
        <c:gapWidth val="219"/>
        <c:overlap val="-27"/>
        <c:axId val="1201996760"/>
        <c:axId val="1206233792"/>
      </c:barChart>
      <c:catAx>
        <c:axId val="120199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233792"/>
        <c:crosses val="autoZero"/>
        <c:auto val="1"/>
        <c:lblAlgn val="ctr"/>
        <c:lblOffset val="100"/>
        <c:noMultiLvlLbl val="0"/>
      </c:catAx>
      <c:valAx>
        <c:axId val="1206233792"/>
        <c:scaling>
          <c:orientation val="minMax"/>
        </c:scaling>
        <c:delete val="1"/>
        <c:axPos val="l"/>
        <c:majorGridlines>
          <c:spPr>
            <a:ln w="9525" cap="flat" cmpd="sng" algn="ctr">
              <a:solidFill>
                <a:schemeClr val="tx1">
                  <a:lumMod val="15000"/>
                  <a:lumOff val="85000"/>
                </a:schemeClr>
              </a:solidFill>
              <a:round/>
            </a:ln>
            <a:effectLst/>
          </c:spPr>
        </c:majorGridlines>
        <c:numFmt formatCode="0,\ &quot;K&quot;" sourceLinked="1"/>
        <c:majorTickMark val="none"/>
        <c:minorTickMark val="none"/>
        <c:tickLblPos val="nextTo"/>
        <c:crossAx val="1201996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_xlchart.v1.4</cx:f>
      </cx:numDim>
    </cx:data>
  </cx:chartData>
  <cx:chart>
    <cx:title pos="t" align="ctr" overlay="0">
      <cx:tx>
        <cx:txData>
          <cx:v>DELL XPS GENERATES REVENUE OF 8.2%</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panose="020F0502020204030204"/>
            </a:rPr>
            <a:t>DELL XPS GENERATES REVENUE OF 8.2%</a:t>
          </a:r>
        </a:p>
      </cx:txPr>
    </cx:title>
    <cx:plotArea>
      <cx:plotAreaRegion>
        <cx:series layoutId="waterfall" uniqueId="{3A858BCC-015F-4576-B972-F6710F8FE046}">
          <cx:tx>
            <cx:txData>
              <cx:f>_xlchart.v1.3</cx:f>
              <cx:v>Sum of Total Sales</cx:v>
            </cx:txData>
          </cx:tx>
          <cx:spPr>
            <a:solidFill>
              <a:schemeClr val="accent1">
                <a:alpha val="55000"/>
              </a:schemeClr>
            </a:solidFill>
          </cx:spPr>
          <cx:dataPt idx="4">
            <cx:spPr>
              <a:solidFill>
                <a:srgbClr val="549E39"/>
              </a:solidFill>
            </cx:spPr>
          </cx:dataPt>
          <cx:dataLabels pos="outEnd">
            <cx:txPr>
              <a:bodyPr spcFirstLastPara="1" vertOverflow="ellipsis" horzOverflow="overflow" wrap="square" lIns="0" tIns="0" rIns="0" bIns="0" anchor="ctr" anchorCtr="1"/>
              <a:lstStyle/>
              <a:p>
                <a:pPr algn="ctr" rtl="0">
                  <a:defRPr sz="1050">
                    <a:solidFill>
                      <a:schemeClr val="tx1"/>
                    </a:solidFill>
                  </a:defRPr>
                </a:pPr>
                <a:endParaRPr lang="en-US" sz="1050" b="0" i="0" u="none" strike="noStrike" baseline="0">
                  <a:solidFill>
                    <a:schemeClr val="tx1"/>
                  </a:solidFill>
                  <a:latin typeface="Calibri" panose="020F0502020204030204"/>
                </a:endParaRPr>
              </a:p>
            </cx:txPr>
            <cx:visibility seriesName="0" categoryName="0" value="1"/>
            <cx:separator>, </cx:separator>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50" b="1">
                <a:solidFill>
                  <a:schemeClr val="tx1"/>
                </a:solidFill>
              </a:defRPr>
            </a:pPr>
            <a:endParaRPr lang="en-US" sz="1050" b="1" i="0" u="none" strike="noStrike" baseline="0">
              <a:solidFill>
                <a:schemeClr val="tx1"/>
              </a:solidFill>
              <a:latin typeface="Calibri" panose="020F0502020204030204"/>
            </a:endParaRPr>
          </a:p>
        </cx:txPr>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LG FRONT GENERATES REVENUE OF 1.3% </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panose="020F0502020204030204"/>
            </a:rPr>
            <a:t>LG FRONT GENERATES REVENUE OF 1.3% </a:t>
          </a:r>
        </a:p>
      </cx:txPr>
    </cx:title>
    <cx:plotArea>
      <cx:plotAreaRegion>
        <cx:series layoutId="waterfall" uniqueId="{CD4AB603-BD4A-489E-98BF-29D71A1C37E6}">
          <cx:spPr>
            <a:solidFill>
              <a:schemeClr val="accent2">
                <a:alpha val="55000"/>
              </a:schemeClr>
            </a:solidFill>
          </cx:spPr>
          <cx:dataPt idx="0">
            <cx:spPr>
              <a:solidFill>
                <a:srgbClr val="B01513"/>
              </a:solidFill>
            </cx:spPr>
          </cx:dataPt>
          <cx:dataLabels pos="outEnd">
            <cx:txPr>
              <a:bodyPr spcFirstLastPara="1" vertOverflow="ellipsis" horzOverflow="overflow" wrap="square" lIns="0" tIns="0" rIns="0" bIns="0" anchor="ctr" anchorCtr="1"/>
              <a:lstStyle/>
              <a:p>
                <a:pPr algn="ctr" rtl="0">
                  <a:defRPr sz="1050">
                    <a:solidFill>
                      <a:schemeClr val="tx1"/>
                    </a:solidFill>
                  </a:defRPr>
                </a:pPr>
                <a:endParaRPr lang="en-US" sz="1050" b="0" i="0" u="none" strike="noStrike" baseline="0">
                  <a:solidFill>
                    <a:schemeClr val="tx1"/>
                  </a:solidFill>
                  <a:latin typeface="Calibri" panose="020F050202020403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50" b="1">
                <a:solidFill>
                  <a:schemeClr val="tx1"/>
                </a:solidFill>
              </a:defRPr>
            </a:pPr>
            <a:endParaRPr lang="en-US" sz="1050" b="1" i="0" u="none" strike="noStrike" baseline="0">
              <a:solidFill>
                <a:schemeClr val="tx1"/>
              </a:solidFill>
              <a:latin typeface="Calibri" panose="020F0502020204030204"/>
            </a:endParaRPr>
          </a:p>
        </cx:txPr>
      </cx:axis>
      <cx:axis id="1" hidden="1">
        <cx:valScaling/>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_xlchart.v1.7</cx:f>
      </cx:numDim>
    </cx:data>
  </cx:chartData>
  <cx:chart>
    <cx:title pos="t" align="ctr" overlay="0">
      <cx:tx>
        <cx:txData>
          <cx:v>top5 products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top5 products</a:t>
          </a:r>
        </a:p>
      </cx:txPr>
    </cx:title>
    <cx:plotArea>
      <cx:plotAreaRegion>
        <cx:series layoutId="waterfall" uniqueId="{3A858BCC-015F-4576-B972-F6710F8FE046}">
          <cx:tx>
            <cx:txData>
              <cx:f>_xlchart.v1.6</cx:f>
              <cx:v>Sum of Total Sales</cx:v>
            </cx:txData>
          </cx:tx>
          <cx:dataLabels pos="outEnd">
            <cx:visibility seriesName="0" categoryName="0" value="1"/>
            <cx:separator>, </cx:separator>
          </cx:dataLabels>
          <cx:dataId val="0"/>
          <cx:layoutPr>
            <cx:subtotals/>
          </cx:layoutPr>
        </cx:series>
      </cx:plotAreaRegion>
      <cx:axis id="0">
        <cx:catScaling gapWidth="0.5"/>
        <cx:tickLabels/>
      </cx:axis>
      <cx:axis id="1" hidden="1">
        <cx:valScaling/>
        <cx:majorGridlines/>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_xlchart.v1.9</cx:f>
      </cx:numDim>
    </cx:data>
  </cx:chartData>
  <cx:chart>
    <cx:title pos="t" align="ctr" overlay="0">
      <cx:tx>
        <cx:txData>
          <cx:v>top worst produts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 worst produts</a:t>
          </a:r>
        </a:p>
      </cx:txPr>
    </cx:title>
    <cx:plotArea>
      <cx:plotAreaRegion>
        <cx:series layoutId="waterfall" uniqueId="{CD4AB603-BD4A-489E-98BF-29D71A1C37E6}">
          <cx:dataLabels pos="outEnd">
            <cx:visibility seriesName="0" categoryName="0" value="1"/>
          </cx:dataLabels>
          <cx:dataId val="0"/>
          <cx:layoutPr>
            <cx:subtotals/>
          </cx:layoutPr>
        </cx:series>
      </cx:plotAreaRegion>
      <cx:axis id="0">
        <cx:catScaling gapWidth="0.5"/>
        <cx:tickLabels/>
      </cx:axis>
      <cx:axis id="1" hidden="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microsoft.com/office/2014/relationships/chartEx" Target="../charts/chartEx1.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media/image3.png"/><Relationship Id="rId4" Type="http://schemas.microsoft.com/office/2014/relationships/chartEx" Target="../charts/chartEx2.xml"/><Relationship Id="rId9"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microsoft.com/office/2014/relationships/chartEx" Target="../charts/chartEx3.xml"/><Relationship Id="rId6" Type="http://schemas.openxmlformats.org/officeDocument/2006/relationships/chart" Target="../charts/chart8.xml"/><Relationship Id="rId5" Type="http://schemas.openxmlformats.org/officeDocument/2006/relationships/chart" Target="../charts/chart7.xml"/><Relationship Id="rId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0</xdr:col>
      <xdr:colOff>104774</xdr:colOff>
      <xdr:row>5</xdr:row>
      <xdr:rowOff>123826</xdr:rowOff>
    </xdr:from>
    <xdr:to>
      <xdr:col>14</xdr:col>
      <xdr:colOff>276225</xdr:colOff>
      <xdr:row>34</xdr:row>
      <xdr:rowOff>114300</xdr:rowOff>
    </xdr:to>
    <xdr:sp macro="" textlink="">
      <xdr:nvSpPr>
        <xdr:cNvPr id="3" name="Rectangle: Rounded Corners 2">
          <a:extLst>
            <a:ext uri="{FF2B5EF4-FFF2-40B4-BE49-F238E27FC236}">
              <a16:creationId xmlns:a16="http://schemas.microsoft.com/office/drawing/2014/main" id="{D4124EF8-4F2F-2B58-C264-FC210A27B757}"/>
            </a:ext>
          </a:extLst>
        </xdr:cNvPr>
        <xdr:cNvSpPr/>
      </xdr:nvSpPr>
      <xdr:spPr>
        <a:xfrm>
          <a:off x="104774" y="1076326"/>
          <a:ext cx="8705851" cy="5514974"/>
        </a:xfrm>
        <a:prstGeom prst="roundRect">
          <a:avLst>
            <a:gd name="adj" fmla="val 1289"/>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352426</xdr:colOff>
      <xdr:row>5</xdr:row>
      <xdr:rowOff>133350</xdr:rowOff>
    </xdr:from>
    <xdr:to>
      <xdr:col>23</xdr:col>
      <xdr:colOff>560295</xdr:colOff>
      <xdr:row>21</xdr:row>
      <xdr:rowOff>180975</xdr:rowOff>
    </xdr:to>
    <xdr:sp macro="" textlink="">
      <xdr:nvSpPr>
        <xdr:cNvPr id="9" name="Rectangle: Rounded Corners 8">
          <a:extLst>
            <a:ext uri="{FF2B5EF4-FFF2-40B4-BE49-F238E27FC236}">
              <a16:creationId xmlns:a16="http://schemas.microsoft.com/office/drawing/2014/main" id="{002C1A17-8A35-B01D-9D5B-67BD1DF3350F}"/>
            </a:ext>
          </a:extLst>
        </xdr:cNvPr>
        <xdr:cNvSpPr/>
      </xdr:nvSpPr>
      <xdr:spPr>
        <a:xfrm>
          <a:off x="8824073" y="1085850"/>
          <a:ext cx="5653928" cy="3095625"/>
        </a:xfrm>
        <a:prstGeom prst="roundRect">
          <a:avLst>
            <a:gd name="adj" fmla="val 1289"/>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200025</xdr:colOff>
      <xdr:row>5</xdr:row>
      <xdr:rowOff>152401</xdr:rowOff>
    </xdr:from>
    <xdr:to>
      <xdr:col>14</xdr:col>
      <xdr:colOff>209550</xdr:colOff>
      <xdr:row>20</xdr:row>
      <xdr:rowOff>161925</xdr:rowOff>
    </xdr:to>
    <xdr:graphicFrame macro="">
      <xdr:nvGraphicFramePr>
        <xdr:cNvPr id="10" name="Chart 9">
          <a:extLst>
            <a:ext uri="{FF2B5EF4-FFF2-40B4-BE49-F238E27FC236}">
              <a16:creationId xmlns:a16="http://schemas.microsoft.com/office/drawing/2014/main" id="{149081B4-6889-42DA-8A65-246DB01FD9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180975</xdr:colOff>
      <xdr:row>21</xdr:row>
      <xdr:rowOff>119684</xdr:rowOff>
    </xdr:from>
    <xdr:to>
      <xdr:col>14</xdr:col>
      <xdr:colOff>104775</xdr:colOff>
      <xdr:row>32</xdr:row>
      <xdr:rowOff>133350</xdr:rowOff>
    </xdr:to>
    <xdr:graphicFrame macro="">
      <xdr:nvGraphicFramePr>
        <xdr:cNvPr id="11" name="Chart 10">
          <a:extLst>
            <a:ext uri="{FF2B5EF4-FFF2-40B4-BE49-F238E27FC236}">
              <a16:creationId xmlns:a16="http://schemas.microsoft.com/office/drawing/2014/main" id="{6402D47B-7CA7-4F23-8E26-B729484E2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352425</xdr:colOff>
      <xdr:row>22</xdr:row>
      <xdr:rowOff>114301</xdr:rowOff>
    </xdr:from>
    <xdr:to>
      <xdr:col>21</xdr:col>
      <xdr:colOff>257175</xdr:colOff>
      <xdr:row>35</xdr:row>
      <xdr:rowOff>19051</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77A29385-5DA5-41A8-A51D-897D9B83A1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886825" y="4305301"/>
              <a:ext cx="4171950" cy="2381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409576</xdr:colOff>
      <xdr:row>35</xdr:row>
      <xdr:rowOff>142875</xdr:rowOff>
    </xdr:from>
    <xdr:to>
      <xdr:col>21</xdr:col>
      <xdr:colOff>200025</xdr:colOff>
      <xdr:row>48</xdr:row>
      <xdr:rowOff>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64849711-0A6E-4CAD-853E-88A6419E9A0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943976" y="6810375"/>
              <a:ext cx="4057649" cy="2333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390526</xdr:colOff>
      <xdr:row>5</xdr:row>
      <xdr:rowOff>180975</xdr:rowOff>
    </xdr:from>
    <xdr:to>
      <xdr:col>23</xdr:col>
      <xdr:colOff>581025</xdr:colOff>
      <xdr:row>21</xdr:row>
      <xdr:rowOff>123825</xdr:rowOff>
    </xdr:to>
    <xdr:graphicFrame macro="">
      <xdr:nvGraphicFramePr>
        <xdr:cNvPr id="14" name="Chart 13">
          <a:extLst>
            <a:ext uri="{FF2B5EF4-FFF2-40B4-BE49-F238E27FC236}">
              <a16:creationId xmlns:a16="http://schemas.microsoft.com/office/drawing/2014/main" id="{45A4973C-9D09-42D3-9B0F-F6ACB3E218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104774</xdr:colOff>
      <xdr:row>34</xdr:row>
      <xdr:rowOff>171450</xdr:rowOff>
    </xdr:from>
    <xdr:to>
      <xdr:col>14</xdr:col>
      <xdr:colOff>266700</xdr:colOff>
      <xdr:row>48</xdr:row>
      <xdr:rowOff>0</xdr:rowOff>
    </xdr:to>
    <xdr:sp macro="" textlink="">
      <xdr:nvSpPr>
        <xdr:cNvPr id="16" name="Rectangle: Rounded Corners 15">
          <a:extLst>
            <a:ext uri="{FF2B5EF4-FFF2-40B4-BE49-F238E27FC236}">
              <a16:creationId xmlns:a16="http://schemas.microsoft.com/office/drawing/2014/main" id="{F8EC62E5-7418-A7C8-1CD9-B28A3AFD4E2C}"/>
            </a:ext>
          </a:extLst>
        </xdr:cNvPr>
        <xdr:cNvSpPr/>
      </xdr:nvSpPr>
      <xdr:spPr>
        <a:xfrm>
          <a:off x="104774" y="6648450"/>
          <a:ext cx="8696326" cy="2495550"/>
        </a:xfrm>
        <a:prstGeom prst="roundRect">
          <a:avLst>
            <a:gd name="adj" fmla="val 1289"/>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133763</xdr:colOff>
      <xdr:row>35</xdr:row>
      <xdr:rowOff>19050</xdr:rowOff>
    </xdr:from>
    <xdr:to>
      <xdr:col>14</xdr:col>
      <xdr:colOff>238125</xdr:colOff>
      <xdr:row>47</xdr:row>
      <xdr:rowOff>171450</xdr:rowOff>
    </xdr:to>
    <xdr:graphicFrame macro="">
      <xdr:nvGraphicFramePr>
        <xdr:cNvPr id="17" name="Chart 16">
          <a:extLst>
            <a:ext uri="{FF2B5EF4-FFF2-40B4-BE49-F238E27FC236}">
              <a16:creationId xmlns:a16="http://schemas.microsoft.com/office/drawing/2014/main" id="{F4D525DF-7657-4045-8A30-A47B90068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319767</xdr:colOff>
      <xdr:row>36</xdr:row>
      <xdr:rowOff>149678</xdr:rowOff>
    </xdr:from>
    <xdr:to>
      <xdr:col>23</xdr:col>
      <xdr:colOff>526676</xdr:colOff>
      <xdr:row>47</xdr:row>
      <xdr:rowOff>38099</xdr:rowOff>
    </xdr:to>
    <mc:AlternateContent xmlns:mc="http://schemas.openxmlformats.org/markup-compatibility/2006" xmlns:a14="http://schemas.microsoft.com/office/drawing/2010/main">
      <mc:Choice Requires="a14">
        <xdr:graphicFrame macro="">
          <xdr:nvGraphicFramePr>
            <xdr:cNvPr id="18" name="Product Category 1">
              <a:extLst>
                <a:ext uri="{FF2B5EF4-FFF2-40B4-BE49-F238E27FC236}">
                  <a16:creationId xmlns:a16="http://schemas.microsoft.com/office/drawing/2014/main" id="{EF265B1B-C4F7-4F58-B738-DDE51B822830}"/>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3027238" y="7007678"/>
              <a:ext cx="1417144" cy="1983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457199</xdr:colOff>
      <xdr:row>31</xdr:row>
      <xdr:rowOff>178254</xdr:rowOff>
    </xdr:from>
    <xdr:to>
      <xdr:col>14</xdr:col>
      <xdr:colOff>123824</xdr:colOff>
      <xdr:row>34</xdr:row>
      <xdr:rowOff>95249</xdr:rowOff>
    </xdr:to>
    <mc:AlternateContent xmlns:mc="http://schemas.openxmlformats.org/markup-compatibility/2006" xmlns:a14="http://schemas.microsoft.com/office/drawing/2010/main">
      <mc:Choice Requires="a14">
        <xdr:graphicFrame macro="">
          <xdr:nvGraphicFramePr>
            <xdr:cNvPr id="19" name="Region 1">
              <a:extLst>
                <a:ext uri="{FF2B5EF4-FFF2-40B4-BE49-F238E27FC236}">
                  <a16:creationId xmlns:a16="http://schemas.microsoft.com/office/drawing/2014/main" id="{F67C56C2-DC7C-40C8-ACE8-96C29A2BCB5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57199" y="6083754"/>
              <a:ext cx="8138272" cy="4884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319768</xdr:colOff>
      <xdr:row>22</xdr:row>
      <xdr:rowOff>163287</xdr:rowOff>
    </xdr:from>
    <xdr:to>
      <xdr:col>23</xdr:col>
      <xdr:colOff>537883</xdr:colOff>
      <xdr:row>34</xdr:row>
      <xdr:rowOff>163287</xdr:rowOff>
    </xdr:to>
    <mc:AlternateContent xmlns:mc="http://schemas.openxmlformats.org/markup-compatibility/2006" xmlns:a14="http://schemas.microsoft.com/office/drawing/2010/main">
      <mc:Choice Requires="a14">
        <xdr:graphicFrame macro="">
          <xdr:nvGraphicFramePr>
            <xdr:cNvPr id="20" name="Order Date (Month) 1">
              <a:extLst>
                <a:ext uri="{FF2B5EF4-FFF2-40B4-BE49-F238E27FC236}">
                  <a16:creationId xmlns:a16="http://schemas.microsoft.com/office/drawing/2014/main" id="{CA67D181-ADE0-43BF-9044-2FC8CED5FC62}"/>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13027239" y="4354287"/>
              <a:ext cx="142835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571500</xdr:colOff>
      <xdr:row>19</xdr:row>
      <xdr:rowOff>2721</xdr:rowOff>
    </xdr:from>
    <xdr:to>
      <xdr:col>14</xdr:col>
      <xdr:colOff>95250</xdr:colOff>
      <xdr:row>21</xdr:row>
      <xdr:rowOff>114300</xdr:rowOff>
    </xdr:to>
    <mc:AlternateContent xmlns:mc="http://schemas.openxmlformats.org/markup-compatibility/2006" xmlns:a14="http://schemas.microsoft.com/office/drawing/2010/main">
      <mc:Choice Requires="a14">
        <xdr:graphicFrame macro="">
          <xdr:nvGraphicFramePr>
            <xdr:cNvPr id="21" name="Order Date (Year) 1">
              <a:extLst>
                <a:ext uri="{FF2B5EF4-FFF2-40B4-BE49-F238E27FC236}">
                  <a16:creationId xmlns:a16="http://schemas.microsoft.com/office/drawing/2014/main" id="{E6DD0B9D-0419-4529-86F2-FF6C9706F6F6}"/>
                </a:ext>
              </a:extLst>
            </xdr:cNvPr>
            <xdr:cNvGraphicFramePr/>
          </xdr:nvGraphicFramePr>
          <xdr:xfrm>
            <a:off x="0" y="0"/>
            <a:ext cx="0" cy="0"/>
          </xdr:xfrm>
          <a:graphic>
            <a:graphicData uri="http://schemas.microsoft.com/office/drawing/2010/slicer">
              <sle:slicer xmlns:sle="http://schemas.microsoft.com/office/drawing/2010/slicer" name="Order Date (Year) 1"/>
            </a:graphicData>
          </a:graphic>
        </xdr:graphicFrame>
      </mc:Choice>
      <mc:Fallback xmlns="">
        <xdr:sp macro="" textlink="">
          <xdr:nvSpPr>
            <xdr:cNvPr id="0" name=""/>
            <xdr:cNvSpPr>
              <a:spLocks noTextEdit="1"/>
            </xdr:cNvSpPr>
          </xdr:nvSpPr>
          <xdr:spPr>
            <a:xfrm>
              <a:off x="571500" y="3622221"/>
              <a:ext cx="7995397" cy="4925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400050</xdr:colOff>
      <xdr:row>0</xdr:row>
      <xdr:rowOff>190499</xdr:rowOff>
    </xdr:from>
    <xdr:to>
      <xdr:col>18</xdr:col>
      <xdr:colOff>194129</xdr:colOff>
      <xdr:row>5</xdr:row>
      <xdr:rowOff>171449</xdr:rowOff>
    </xdr:to>
    <xdr:sp macro="" textlink="B19">
      <xdr:nvSpPr>
        <xdr:cNvPr id="30" name="Rectangle: Rounded Corners 29">
          <a:extLst>
            <a:ext uri="{FF2B5EF4-FFF2-40B4-BE49-F238E27FC236}">
              <a16:creationId xmlns:a16="http://schemas.microsoft.com/office/drawing/2014/main" id="{E9AF79C8-8782-515D-8B25-C498D9E61C71}"/>
            </a:ext>
          </a:extLst>
        </xdr:cNvPr>
        <xdr:cNvSpPr/>
      </xdr:nvSpPr>
      <xdr:spPr>
        <a:xfrm>
          <a:off x="8934450" y="190499"/>
          <a:ext cx="2232479" cy="933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9970829-BF20-457F-B7D4-BCED2A5083B4}" type="TxLink">
            <a:rPr lang="en-US" sz="1800" b="0" i="0" u="none" strike="noStrike">
              <a:solidFill>
                <a:schemeClr val="tx1"/>
              </a:solidFill>
              <a:latin typeface="Calibri"/>
              <a:cs typeface="Calibri"/>
            </a:rPr>
            <a:pPr algn="ctr"/>
            <a:t> </a:t>
          </a:fld>
          <a:endParaRPr lang="en-US" sz="3600">
            <a:solidFill>
              <a:schemeClr val="tx1"/>
            </a:solidFill>
          </a:endParaRPr>
        </a:p>
      </xdr:txBody>
    </xdr:sp>
    <xdr:clientData/>
  </xdr:twoCellAnchor>
  <xdr:twoCellAnchor>
    <xdr:from>
      <xdr:col>11</xdr:col>
      <xdr:colOff>285751</xdr:colOff>
      <xdr:row>1</xdr:row>
      <xdr:rowOff>95249</xdr:rowOff>
    </xdr:from>
    <xdr:to>
      <xdr:col>13</xdr:col>
      <xdr:colOff>476251</xdr:colOff>
      <xdr:row>4</xdr:row>
      <xdr:rowOff>133350</xdr:rowOff>
    </xdr:to>
    <xdr:sp macro="" textlink="B25">
      <xdr:nvSpPr>
        <xdr:cNvPr id="31" name="Rectangle: Rounded Corners 30">
          <a:extLst>
            <a:ext uri="{FF2B5EF4-FFF2-40B4-BE49-F238E27FC236}">
              <a16:creationId xmlns:a16="http://schemas.microsoft.com/office/drawing/2014/main" id="{38DA0879-CA5D-E495-C71C-F055157CDB11}"/>
            </a:ext>
          </a:extLst>
        </xdr:cNvPr>
        <xdr:cNvSpPr/>
      </xdr:nvSpPr>
      <xdr:spPr>
        <a:xfrm>
          <a:off x="6991351" y="285749"/>
          <a:ext cx="1409700" cy="60960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241F24B-B1D7-4AA3-9853-F173B593BC5C}" type="TxLink">
            <a:rPr lang="en-US" sz="1800" b="0" i="0" u="none" strike="noStrike">
              <a:solidFill>
                <a:schemeClr val="tx1"/>
              </a:solidFill>
              <a:latin typeface="Calibri"/>
              <a:cs typeface="Calibri"/>
            </a:rPr>
            <a:pPr algn="ctr"/>
            <a:t> </a:t>
          </a:fld>
          <a:endParaRPr lang="en-US" sz="3600">
            <a:solidFill>
              <a:schemeClr val="tx1"/>
            </a:solidFill>
          </a:endParaRPr>
        </a:p>
      </xdr:txBody>
    </xdr:sp>
    <xdr:clientData/>
  </xdr:twoCellAnchor>
  <xdr:twoCellAnchor>
    <xdr:from>
      <xdr:col>14</xdr:col>
      <xdr:colOff>361951</xdr:colOff>
      <xdr:row>0</xdr:row>
      <xdr:rowOff>104775</xdr:rowOff>
    </xdr:from>
    <xdr:to>
      <xdr:col>23</xdr:col>
      <xdr:colOff>571500</xdr:colOff>
      <xdr:row>5</xdr:row>
      <xdr:rowOff>57150</xdr:rowOff>
    </xdr:to>
    <xdr:grpSp>
      <xdr:nvGrpSpPr>
        <xdr:cNvPr id="4" name="Group 3">
          <a:extLst>
            <a:ext uri="{FF2B5EF4-FFF2-40B4-BE49-F238E27FC236}">
              <a16:creationId xmlns:a16="http://schemas.microsoft.com/office/drawing/2014/main" id="{5C9F5347-D897-9108-6726-C7C403A6B0ED}"/>
            </a:ext>
          </a:extLst>
        </xdr:cNvPr>
        <xdr:cNvGrpSpPr/>
      </xdr:nvGrpSpPr>
      <xdr:grpSpPr>
        <a:xfrm>
          <a:off x="8833598" y="104775"/>
          <a:ext cx="5655608" cy="904875"/>
          <a:chOff x="7400926" y="95250"/>
          <a:chExt cx="5695819" cy="904875"/>
        </a:xfrm>
      </xdr:grpSpPr>
      <xdr:sp macro="" textlink="Data!$B$19">
        <xdr:nvSpPr>
          <xdr:cNvPr id="27" name="Rectangle: Rounded Corners 26">
            <a:extLst>
              <a:ext uri="{FF2B5EF4-FFF2-40B4-BE49-F238E27FC236}">
                <a16:creationId xmlns:a16="http://schemas.microsoft.com/office/drawing/2014/main" id="{88551B3A-0148-1132-DF38-0BCAC1B0637D}"/>
              </a:ext>
            </a:extLst>
          </xdr:cNvPr>
          <xdr:cNvSpPr/>
        </xdr:nvSpPr>
        <xdr:spPr>
          <a:xfrm>
            <a:off x="10284080" y="114300"/>
            <a:ext cx="1389888" cy="885825"/>
          </a:xfrm>
          <a:prstGeom prst="roundRect">
            <a:avLst>
              <a:gd name="adj" fmla="val 9072"/>
            </a:avLst>
          </a:prstGeom>
          <a:solidFill>
            <a:schemeClr val="accent1">
              <a:lumMod val="20000"/>
              <a:lumOff val="80000"/>
            </a:schemeClr>
          </a:solidFill>
          <a:ln w="1270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9C2A6D40-3089-4FD7-8D43-922128CA0978}" type="TxLink">
              <a:rPr lang="en-US" sz="3200" b="0" i="0" u="none" strike="noStrike">
                <a:solidFill>
                  <a:srgbClr val="000000"/>
                </a:solidFill>
                <a:latin typeface="Calibri"/>
                <a:cs typeface="Calibri"/>
              </a:rPr>
              <a:pPr algn="ctr"/>
              <a:t> 2,993 </a:t>
            </a:fld>
            <a:endParaRPr lang="en-US" sz="3200"/>
          </a:p>
        </xdr:txBody>
      </xdr:sp>
      <xdr:sp macro="" textlink="Data!$C$4">
        <xdr:nvSpPr>
          <xdr:cNvPr id="26" name="Rectangle: Rounded Corners 25">
            <a:extLst>
              <a:ext uri="{FF2B5EF4-FFF2-40B4-BE49-F238E27FC236}">
                <a16:creationId xmlns:a16="http://schemas.microsoft.com/office/drawing/2014/main" id="{BF0338F5-CBB6-78B4-5D9C-8FE3267B956F}"/>
              </a:ext>
            </a:extLst>
          </xdr:cNvPr>
          <xdr:cNvSpPr/>
        </xdr:nvSpPr>
        <xdr:spPr>
          <a:xfrm>
            <a:off x="8842884" y="101600"/>
            <a:ext cx="1389888" cy="885825"/>
          </a:xfrm>
          <a:prstGeom prst="roundRect">
            <a:avLst>
              <a:gd name="adj" fmla="val 9072"/>
            </a:avLst>
          </a:prstGeom>
          <a:solidFill>
            <a:schemeClr val="accent1"/>
          </a:solidFill>
          <a:ln w="1270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A446B35A-68F8-4595-869F-0F73259F5155}" type="TxLink">
              <a:rPr lang="en-US" sz="3200" b="0" i="0" u="none" strike="noStrike">
                <a:solidFill>
                  <a:schemeClr val="bg1"/>
                </a:solidFill>
                <a:latin typeface="Calibri"/>
                <a:cs typeface="Calibri"/>
              </a:rPr>
              <a:pPr algn="ctr"/>
              <a:t>237 M</a:t>
            </a:fld>
            <a:endParaRPr lang="en-US" sz="3200">
              <a:solidFill>
                <a:schemeClr val="bg1"/>
              </a:solidFill>
            </a:endParaRPr>
          </a:p>
        </xdr:txBody>
      </xdr:sp>
      <xdr:sp macro="" textlink="Data!$B$25">
        <xdr:nvSpPr>
          <xdr:cNvPr id="6" name="Rectangle: Rounded Corners 5">
            <a:extLst>
              <a:ext uri="{FF2B5EF4-FFF2-40B4-BE49-F238E27FC236}">
                <a16:creationId xmlns:a16="http://schemas.microsoft.com/office/drawing/2014/main" id="{E7EBA0D6-2627-92DA-BABF-3B5033A89C46}"/>
              </a:ext>
            </a:extLst>
          </xdr:cNvPr>
          <xdr:cNvSpPr/>
        </xdr:nvSpPr>
        <xdr:spPr>
          <a:xfrm>
            <a:off x="7400926" y="95250"/>
            <a:ext cx="1390650" cy="885825"/>
          </a:xfrm>
          <a:prstGeom prst="roundRect">
            <a:avLst>
              <a:gd name="adj" fmla="val 9072"/>
            </a:avLst>
          </a:prstGeom>
          <a:solidFill>
            <a:schemeClr val="accent2"/>
          </a:solidFill>
          <a:ln w="1270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5BBE0F9A-3E84-4D1A-AE61-AEC3B2C84941}" type="TxLink">
              <a:rPr lang="en-US" sz="3200" b="0" i="0" u="none" strike="noStrike">
                <a:solidFill>
                  <a:schemeClr val="bg1"/>
                </a:solidFill>
                <a:latin typeface="Calibri"/>
                <a:cs typeface="Calibri"/>
              </a:rPr>
              <a:pPr algn="ctr"/>
              <a:t>58 M</a:t>
            </a:fld>
            <a:endParaRPr lang="en-US" sz="3200">
              <a:solidFill>
                <a:schemeClr val="bg1"/>
              </a:solidFill>
            </a:endParaRPr>
          </a:p>
        </xdr:txBody>
      </xdr:sp>
      <xdr:sp macro="" textlink="Data!D17">
        <xdr:nvSpPr>
          <xdr:cNvPr id="48" name="Rectangle: Rounded Corners 47">
            <a:extLst>
              <a:ext uri="{FF2B5EF4-FFF2-40B4-BE49-F238E27FC236}">
                <a16:creationId xmlns:a16="http://schemas.microsoft.com/office/drawing/2014/main" id="{8C0F8E84-CA40-54CA-D14D-EEBF1078BC40}"/>
              </a:ext>
            </a:extLst>
          </xdr:cNvPr>
          <xdr:cNvSpPr/>
        </xdr:nvSpPr>
        <xdr:spPr>
          <a:xfrm>
            <a:off x="11725275" y="107950"/>
            <a:ext cx="1371470" cy="885825"/>
          </a:xfrm>
          <a:prstGeom prst="roundRect">
            <a:avLst>
              <a:gd name="adj" fmla="val 9072"/>
            </a:avLst>
          </a:prstGeom>
          <a:solidFill>
            <a:schemeClr val="accent2"/>
          </a:solidFill>
          <a:ln w="1270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7889875-F171-40DE-95F8-4F035C1DAB0F}" type="TxLink">
              <a:rPr lang="en-US" sz="3200" b="0" i="0" u="none" strike="noStrike">
                <a:solidFill>
                  <a:schemeClr val="bg1"/>
                </a:solidFill>
                <a:latin typeface="Calibri"/>
                <a:cs typeface="Calibri"/>
              </a:rPr>
              <a:pPr algn="ctr"/>
              <a:t>24%</a:t>
            </a:fld>
            <a:endParaRPr lang="en-US" sz="3200">
              <a:solidFill>
                <a:schemeClr val="bg1"/>
              </a:solidFill>
            </a:endParaRPr>
          </a:p>
        </xdr:txBody>
      </xdr:sp>
    </xdr:grpSp>
    <xdr:clientData/>
  </xdr:twoCellAnchor>
  <xdr:twoCellAnchor>
    <xdr:from>
      <xdr:col>14</xdr:col>
      <xdr:colOff>361951</xdr:colOff>
      <xdr:row>22</xdr:row>
      <xdr:rowOff>66676</xdr:rowOff>
    </xdr:from>
    <xdr:to>
      <xdr:col>21</xdr:col>
      <xdr:colOff>238125</xdr:colOff>
      <xdr:row>48</xdr:row>
      <xdr:rowOff>9526</xdr:rowOff>
    </xdr:to>
    <xdr:sp macro="" textlink="">
      <xdr:nvSpPr>
        <xdr:cNvPr id="29" name="Rectangle: Rounded Corners 28">
          <a:extLst>
            <a:ext uri="{FF2B5EF4-FFF2-40B4-BE49-F238E27FC236}">
              <a16:creationId xmlns:a16="http://schemas.microsoft.com/office/drawing/2014/main" id="{8ABAB685-4B5C-E464-E45A-A17552D34160}"/>
            </a:ext>
          </a:extLst>
        </xdr:cNvPr>
        <xdr:cNvSpPr/>
      </xdr:nvSpPr>
      <xdr:spPr>
        <a:xfrm>
          <a:off x="8896351" y="4257676"/>
          <a:ext cx="4143374" cy="4895850"/>
        </a:xfrm>
        <a:prstGeom prst="roundRect">
          <a:avLst>
            <a:gd name="adj" fmla="val 1289"/>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295274</xdr:colOff>
      <xdr:row>22</xdr:row>
      <xdr:rowOff>66676</xdr:rowOff>
    </xdr:from>
    <xdr:to>
      <xdr:col>23</xdr:col>
      <xdr:colOff>560294</xdr:colOff>
      <xdr:row>48</xdr:row>
      <xdr:rowOff>9526</xdr:rowOff>
    </xdr:to>
    <xdr:sp macro="" textlink="">
      <xdr:nvSpPr>
        <xdr:cNvPr id="32" name="Rectangle: Rounded Corners 31">
          <a:extLst>
            <a:ext uri="{FF2B5EF4-FFF2-40B4-BE49-F238E27FC236}">
              <a16:creationId xmlns:a16="http://schemas.microsoft.com/office/drawing/2014/main" id="{7FC61AC0-2F80-113D-EC89-B7BCE69C2A4D}"/>
            </a:ext>
          </a:extLst>
        </xdr:cNvPr>
        <xdr:cNvSpPr/>
      </xdr:nvSpPr>
      <xdr:spPr>
        <a:xfrm>
          <a:off x="13002745" y="4257676"/>
          <a:ext cx="1475255" cy="4895850"/>
        </a:xfrm>
        <a:prstGeom prst="roundRect">
          <a:avLst>
            <a:gd name="adj" fmla="val 1289"/>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114300</xdr:colOff>
      <xdr:row>0</xdr:row>
      <xdr:rowOff>114300</xdr:rowOff>
    </xdr:from>
    <xdr:to>
      <xdr:col>14</xdr:col>
      <xdr:colOff>323850</xdr:colOff>
      <xdr:row>5</xdr:row>
      <xdr:rowOff>9525</xdr:rowOff>
    </xdr:to>
    <xdr:sp macro="" textlink="">
      <xdr:nvSpPr>
        <xdr:cNvPr id="5" name="TextBox 4">
          <a:extLst>
            <a:ext uri="{FF2B5EF4-FFF2-40B4-BE49-F238E27FC236}">
              <a16:creationId xmlns:a16="http://schemas.microsoft.com/office/drawing/2014/main" id="{D6E90943-E43F-DD16-4217-13F06A2AB17E}"/>
            </a:ext>
          </a:extLst>
        </xdr:cNvPr>
        <xdr:cNvSpPr txBox="1"/>
      </xdr:nvSpPr>
      <xdr:spPr>
        <a:xfrm>
          <a:off x="723900" y="114300"/>
          <a:ext cx="8134350"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accent2"/>
              </a:solidFill>
              <a:effectLst>
                <a:reflection blurRad="6350" stA="55000" endA="300" endPos="45500" dir="5400000" sy="-100000" algn="bl" rotWithShape="0"/>
              </a:effectLst>
            </a:rPr>
            <a:t>MEGAMART</a:t>
          </a:r>
          <a:r>
            <a:rPr lang="en-US" sz="3200" b="1" baseline="0">
              <a:solidFill>
                <a:schemeClr val="accent2"/>
              </a:solidFill>
              <a:effectLst>
                <a:reflection blurRad="6350" stA="55000" endA="300" endPos="45500" dir="5400000" sy="-100000" algn="bl" rotWithShape="0"/>
              </a:effectLst>
            </a:rPr>
            <a:t> SALES  - JUN ( 2024 ) - JUN ( 2025 )</a:t>
          </a:r>
          <a:endParaRPr lang="en-US" sz="3200" b="1">
            <a:solidFill>
              <a:schemeClr val="accent2"/>
            </a:solidFill>
            <a:effectLst>
              <a:reflection blurRad="6350" stA="55000" endA="300" endPos="45500" dir="5400000" sy="-100000" algn="bl" rotWithShape="0"/>
            </a:effectLst>
          </a:endParaRPr>
        </a:p>
      </xdr:txBody>
    </xdr:sp>
    <xdr:clientData/>
  </xdr:twoCellAnchor>
  <xdr:twoCellAnchor editAs="oneCell">
    <xdr:from>
      <xdr:col>0</xdr:col>
      <xdr:colOff>285750</xdr:colOff>
      <xdr:row>19</xdr:row>
      <xdr:rowOff>95250</xdr:rowOff>
    </xdr:from>
    <xdr:to>
      <xdr:col>0</xdr:col>
      <xdr:colOff>504825</xdr:colOff>
      <xdr:row>20</xdr:row>
      <xdr:rowOff>123825</xdr:rowOff>
    </xdr:to>
    <xdr:pic macro="[0]!_xludf.year">
      <xdr:nvPicPr>
        <xdr:cNvPr id="8" name="Picture 7">
          <a:extLst>
            <a:ext uri="{FF2B5EF4-FFF2-40B4-BE49-F238E27FC236}">
              <a16:creationId xmlns:a16="http://schemas.microsoft.com/office/drawing/2014/main" id="{93C0E896-33A8-7C77-29E0-E2BF971BC81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5750" y="3714750"/>
          <a:ext cx="219075" cy="219075"/>
        </a:xfrm>
        <a:prstGeom prst="rect">
          <a:avLst/>
        </a:prstGeom>
      </xdr:spPr>
    </xdr:pic>
    <xdr:clientData/>
  </xdr:twoCellAnchor>
  <xdr:twoCellAnchor editAs="oneCell">
    <xdr:from>
      <xdr:col>0</xdr:col>
      <xdr:colOff>219075</xdr:colOff>
      <xdr:row>32</xdr:row>
      <xdr:rowOff>57150</xdr:rowOff>
    </xdr:from>
    <xdr:to>
      <xdr:col>0</xdr:col>
      <xdr:colOff>438150</xdr:colOff>
      <xdr:row>33</xdr:row>
      <xdr:rowOff>85725</xdr:rowOff>
    </xdr:to>
    <xdr:pic macro="[0]!Region">
      <xdr:nvPicPr>
        <xdr:cNvPr id="36" name="Picture 35">
          <a:extLst>
            <a:ext uri="{FF2B5EF4-FFF2-40B4-BE49-F238E27FC236}">
              <a16:creationId xmlns:a16="http://schemas.microsoft.com/office/drawing/2014/main" id="{8F00E160-C51E-7CE6-6F1A-693790E5F5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9075" y="6153150"/>
          <a:ext cx="219075" cy="219075"/>
        </a:xfrm>
        <a:prstGeom prst="rect">
          <a:avLst/>
        </a:prstGeom>
      </xdr:spPr>
    </xdr:pic>
    <xdr:clientData/>
  </xdr:twoCellAnchor>
  <xdr:twoCellAnchor editAs="oneCell">
    <xdr:from>
      <xdr:col>4</xdr:col>
      <xdr:colOff>247650</xdr:colOff>
      <xdr:row>35</xdr:row>
      <xdr:rowOff>57151</xdr:rowOff>
    </xdr:from>
    <xdr:to>
      <xdr:col>5</xdr:col>
      <xdr:colOff>120738</xdr:colOff>
      <xdr:row>37</xdr:row>
      <xdr:rowOff>1</xdr:rowOff>
    </xdr:to>
    <xdr:pic>
      <xdr:nvPicPr>
        <xdr:cNvPr id="38" name="Picture 37">
          <a:extLst>
            <a:ext uri="{FF2B5EF4-FFF2-40B4-BE49-F238E27FC236}">
              <a16:creationId xmlns:a16="http://schemas.microsoft.com/office/drawing/2014/main" id="{C31D2075-924E-E555-10F9-2A04B2D3B6F5}"/>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8839" b="89775" l="5814" r="94535">
                      <a14:foregroundMark x1="48837" y1="10572" x2="48837" y2="10572"/>
                      <a14:foregroundMark x1="82093" y1="21664" x2="82093" y2="21664"/>
                      <a14:foregroundMark x1="50698" y1="9012" x2="50698" y2="9012"/>
                      <a14:foregroundMark x1="88721" y1="69844" x2="88721" y2="69844"/>
                      <a14:foregroundMark x1="62907" y1="74870" x2="62907" y2="74870"/>
                      <a14:foregroundMark x1="86977" y1="70364" x2="86977" y2="70364"/>
                      <a14:foregroundMark x1="82093" y1="67071" x2="82093" y2="67071"/>
                      <a14:foregroundMark x1="90581" y1="66724" x2="90581" y2="66724"/>
                      <a14:foregroundMark x1="94535" y1="67418" x2="94535" y2="67418"/>
                      <a14:foregroundMark x1="69651" y1="63951" x2="69651" y2="63951"/>
                      <a14:foregroundMark x1="17791" y1="27556" x2="17791" y2="27556"/>
                      <a14:foregroundMark x1="29070" y1="61525" x2="29070" y2="61525"/>
                      <a14:foregroundMark x1="13605" y1="64298" x2="13605" y2="64298"/>
                      <a14:foregroundMark x1="5814" y1="63951" x2="5814" y2="63951"/>
                    </a14:backgroundRemoval>
                  </a14:imgEffect>
                </a14:imgLayer>
              </a14:imgProps>
            </a:ext>
            <a:ext uri="{28A0092B-C50C-407E-A947-70E740481C1C}">
              <a14:useLocalDpi xmlns:a14="http://schemas.microsoft.com/office/drawing/2010/main" val="0"/>
            </a:ext>
          </a:extLst>
        </a:blip>
        <a:stretch>
          <a:fillRect/>
        </a:stretch>
      </xdr:blipFill>
      <xdr:spPr>
        <a:xfrm>
          <a:off x="2686050" y="6724651"/>
          <a:ext cx="482688" cy="323850"/>
        </a:xfrm>
        <a:prstGeom prst="rect">
          <a:avLst/>
        </a:prstGeom>
      </xdr:spPr>
    </xdr:pic>
    <xdr:clientData/>
  </xdr:twoCellAnchor>
  <xdr:twoCellAnchor editAs="oneCell">
    <xdr:from>
      <xdr:col>0</xdr:col>
      <xdr:colOff>180975</xdr:colOff>
      <xdr:row>1</xdr:row>
      <xdr:rowOff>95250</xdr:rowOff>
    </xdr:from>
    <xdr:to>
      <xdr:col>1</xdr:col>
      <xdr:colOff>123825</xdr:colOff>
      <xdr:row>4</xdr:row>
      <xdr:rowOff>76200</xdr:rowOff>
    </xdr:to>
    <xdr:pic>
      <xdr:nvPicPr>
        <xdr:cNvPr id="42" name="Picture 41">
          <a:extLst>
            <a:ext uri="{FF2B5EF4-FFF2-40B4-BE49-F238E27FC236}">
              <a16:creationId xmlns:a16="http://schemas.microsoft.com/office/drawing/2014/main" id="{6196B851-43F4-120C-08F6-89B4579E404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80975" y="285750"/>
          <a:ext cx="552450" cy="552450"/>
        </a:xfrm>
        <a:prstGeom prst="rect">
          <a:avLst/>
        </a:prstGeom>
      </xdr:spPr>
    </xdr:pic>
    <xdr:clientData/>
  </xdr:twoCellAnchor>
  <xdr:twoCellAnchor>
    <xdr:from>
      <xdr:col>0</xdr:col>
      <xdr:colOff>273326</xdr:colOff>
      <xdr:row>12</xdr:row>
      <xdr:rowOff>114300</xdr:rowOff>
    </xdr:from>
    <xdr:to>
      <xdr:col>1</xdr:col>
      <xdr:colOff>180975</xdr:colOff>
      <xdr:row>13</xdr:row>
      <xdr:rowOff>152400</xdr:rowOff>
    </xdr:to>
    <xdr:sp macro="" textlink="">
      <xdr:nvSpPr>
        <xdr:cNvPr id="44" name="TextBox 43">
          <a:extLst>
            <a:ext uri="{FF2B5EF4-FFF2-40B4-BE49-F238E27FC236}">
              <a16:creationId xmlns:a16="http://schemas.microsoft.com/office/drawing/2014/main" id="{7C6FDEA1-A0F5-3E86-D529-C037FD2869DC}"/>
            </a:ext>
          </a:extLst>
        </xdr:cNvPr>
        <xdr:cNvSpPr txBox="1"/>
      </xdr:nvSpPr>
      <xdr:spPr>
        <a:xfrm>
          <a:off x="273326" y="2400300"/>
          <a:ext cx="520562"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2.3%</a:t>
          </a:r>
        </a:p>
      </xdr:txBody>
    </xdr:sp>
    <xdr:clientData/>
  </xdr:twoCellAnchor>
  <xdr:twoCellAnchor>
    <xdr:from>
      <xdr:col>9</xdr:col>
      <xdr:colOff>581025</xdr:colOff>
      <xdr:row>10</xdr:row>
      <xdr:rowOff>28575</xdr:rowOff>
    </xdr:from>
    <xdr:to>
      <xdr:col>10</xdr:col>
      <xdr:colOff>561975</xdr:colOff>
      <xdr:row>11</xdr:row>
      <xdr:rowOff>66675</xdr:rowOff>
    </xdr:to>
    <xdr:sp macro="" textlink="">
      <xdr:nvSpPr>
        <xdr:cNvPr id="50" name="TextBox 49">
          <a:extLst>
            <a:ext uri="{FF2B5EF4-FFF2-40B4-BE49-F238E27FC236}">
              <a16:creationId xmlns:a16="http://schemas.microsoft.com/office/drawing/2014/main" id="{549BB783-2AA2-4D1E-BFCD-A1B7046E0C79}"/>
            </a:ext>
          </a:extLst>
        </xdr:cNvPr>
        <xdr:cNvSpPr txBox="1"/>
      </xdr:nvSpPr>
      <xdr:spPr>
        <a:xfrm>
          <a:off x="6067425" y="1933575"/>
          <a:ext cx="59055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6.4%</a:t>
          </a:r>
        </a:p>
      </xdr:txBody>
    </xdr:sp>
    <xdr:clientData/>
  </xdr:twoCellAnchor>
  <xdr:twoCellAnchor>
    <xdr:from>
      <xdr:col>13</xdr:col>
      <xdr:colOff>257175</xdr:colOff>
      <xdr:row>10</xdr:row>
      <xdr:rowOff>9525</xdr:rowOff>
    </xdr:from>
    <xdr:to>
      <xdr:col>14</xdr:col>
      <xdr:colOff>238125</xdr:colOff>
      <xdr:row>11</xdr:row>
      <xdr:rowOff>47625</xdr:rowOff>
    </xdr:to>
    <xdr:sp macro="" textlink="">
      <xdr:nvSpPr>
        <xdr:cNvPr id="51" name="TextBox 50">
          <a:extLst>
            <a:ext uri="{FF2B5EF4-FFF2-40B4-BE49-F238E27FC236}">
              <a16:creationId xmlns:a16="http://schemas.microsoft.com/office/drawing/2014/main" id="{B1CAB979-22A8-4474-ABDA-ED67D9C18D17}"/>
            </a:ext>
          </a:extLst>
        </xdr:cNvPr>
        <xdr:cNvSpPr txBox="1"/>
      </xdr:nvSpPr>
      <xdr:spPr>
        <a:xfrm>
          <a:off x="8181975" y="1914525"/>
          <a:ext cx="59055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5.6%</a:t>
          </a:r>
        </a:p>
      </xdr:txBody>
    </xdr:sp>
    <xdr:clientData/>
  </xdr:twoCellAnchor>
  <xdr:twoCellAnchor>
    <xdr:from>
      <xdr:col>0</xdr:col>
      <xdr:colOff>276224</xdr:colOff>
      <xdr:row>7</xdr:row>
      <xdr:rowOff>47625</xdr:rowOff>
    </xdr:from>
    <xdr:to>
      <xdr:col>2</xdr:col>
      <xdr:colOff>600075</xdr:colOff>
      <xdr:row>9</xdr:row>
      <xdr:rowOff>180975</xdr:rowOff>
    </xdr:to>
    <xdr:sp macro="" textlink="">
      <xdr:nvSpPr>
        <xdr:cNvPr id="52" name="TextBox 51">
          <a:extLst>
            <a:ext uri="{FF2B5EF4-FFF2-40B4-BE49-F238E27FC236}">
              <a16:creationId xmlns:a16="http://schemas.microsoft.com/office/drawing/2014/main" id="{BA7CDCAF-BE6A-4294-A08F-0AAB62B23F91}"/>
            </a:ext>
          </a:extLst>
        </xdr:cNvPr>
        <xdr:cNvSpPr txBox="1"/>
      </xdr:nvSpPr>
      <xdr:spPr>
        <a:xfrm>
          <a:off x="276224" y="1381125"/>
          <a:ext cx="1543051"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OTHERS GENERATE</a:t>
          </a:r>
          <a:r>
            <a:rPr lang="en-US" sz="1200" b="1" baseline="0">
              <a:solidFill>
                <a:schemeClr val="tx1"/>
              </a:solidFill>
            </a:rPr>
            <a:t> </a:t>
          </a:r>
        </a:p>
        <a:p>
          <a:r>
            <a:rPr lang="en-US" sz="1200" b="1" baseline="0">
              <a:solidFill>
                <a:schemeClr val="tx1"/>
              </a:solidFill>
            </a:rPr>
            <a:t>AVG REV OF 7.1%</a:t>
          </a:r>
          <a:endParaRPr lang="en-US" sz="1200" b="1">
            <a:solidFill>
              <a:schemeClr val="tx1"/>
            </a:solidFill>
          </a:endParaRPr>
        </a:p>
      </xdr:txBody>
    </xdr:sp>
    <xdr:clientData/>
  </xdr:twoCellAnchor>
  <xdr:twoCellAnchor>
    <xdr:from>
      <xdr:col>14</xdr:col>
      <xdr:colOff>419100</xdr:colOff>
      <xdr:row>0</xdr:row>
      <xdr:rowOff>171451</xdr:rowOff>
    </xdr:from>
    <xdr:to>
      <xdr:col>16</xdr:col>
      <xdr:colOff>457200</xdr:colOff>
      <xdr:row>2</xdr:row>
      <xdr:rowOff>95251</xdr:rowOff>
    </xdr:to>
    <xdr:sp macro="" textlink="">
      <xdr:nvSpPr>
        <xdr:cNvPr id="45" name="TextBox 44">
          <a:extLst>
            <a:ext uri="{FF2B5EF4-FFF2-40B4-BE49-F238E27FC236}">
              <a16:creationId xmlns:a16="http://schemas.microsoft.com/office/drawing/2014/main" id="{1FCD0FAA-C9B4-4945-8037-79C9F7941C37}"/>
            </a:ext>
          </a:extLst>
        </xdr:cNvPr>
        <xdr:cNvSpPr txBox="1"/>
      </xdr:nvSpPr>
      <xdr:spPr>
        <a:xfrm>
          <a:off x="8953500" y="171451"/>
          <a:ext cx="1257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PROFIT</a:t>
          </a:r>
        </a:p>
      </xdr:txBody>
    </xdr:sp>
    <xdr:clientData/>
  </xdr:twoCellAnchor>
  <xdr:twoCellAnchor>
    <xdr:from>
      <xdr:col>17</xdr:col>
      <xdr:colOff>38100</xdr:colOff>
      <xdr:row>0</xdr:row>
      <xdr:rowOff>152401</xdr:rowOff>
    </xdr:from>
    <xdr:to>
      <xdr:col>19</xdr:col>
      <xdr:colOff>76200</xdr:colOff>
      <xdr:row>2</xdr:row>
      <xdr:rowOff>76201</xdr:rowOff>
    </xdr:to>
    <xdr:sp macro="" textlink="">
      <xdr:nvSpPr>
        <xdr:cNvPr id="55" name="TextBox 54">
          <a:extLst>
            <a:ext uri="{FF2B5EF4-FFF2-40B4-BE49-F238E27FC236}">
              <a16:creationId xmlns:a16="http://schemas.microsoft.com/office/drawing/2014/main" id="{40CD82BB-DE28-42F7-9433-9F4749713B9D}"/>
            </a:ext>
          </a:extLst>
        </xdr:cNvPr>
        <xdr:cNvSpPr txBox="1"/>
      </xdr:nvSpPr>
      <xdr:spPr>
        <a:xfrm>
          <a:off x="10401300" y="152401"/>
          <a:ext cx="1257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REVENUE</a:t>
          </a:r>
        </a:p>
      </xdr:txBody>
    </xdr:sp>
    <xdr:clientData/>
  </xdr:twoCellAnchor>
  <xdr:twoCellAnchor>
    <xdr:from>
      <xdr:col>19</xdr:col>
      <xdr:colOff>133350</xdr:colOff>
      <xdr:row>0</xdr:row>
      <xdr:rowOff>152401</xdr:rowOff>
    </xdr:from>
    <xdr:to>
      <xdr:col>21</xdr:col>
      <xdr:colOff>400050</xdr:colOff>
      <xdr:row>2</xdr:row>
      <xdr:rowOff>76201</xdr:rowOff>
    </xdr:to>
    <xdr:sp macro="" textlink="">
      <xdr:nvSpPr>
        <xdr:cNvPr id="56" name="TextBox 55">
          <a:extLst>
            <a:ext uri="{FF2B5EF4-FFF2-40B4-BE49-F238E27FC236}">
              <a16:creationId xmlns:a16="http://schemas.microsoft.com/office/drawing/2014/main" id="{4A71207C-A5F6-4399-9061-C15214009386}"/>
            </a:ext>
          </a:extLst>
        </xdr:cNvPr>
        <xdr:cNvSpPr txBox="1"/>
      </xdr:nvSpPr>
      <xdr:spPr>
        <a:xfrm>
          <a:off x="11715750" y="152401"/>
          <a:ext cx="1485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solidFill>
            </a:rPr>
            <a:t>PROD QUANT</a:t>
          </a:r>
        </a:p>
      </xdr:txBody>
    </xdr:sp>
    <xdr:clientData/>
  </xdr:twoCellAnchor>
  <xdr:twoCellAnchor>
    <xdr:from>
      <xdr:col>21</xdr:col>
      <xdr:colOff>361950</xdr:colOff>
      <xdr:row>0</xdr:row>
      <xdr:rowOff>161926</xdr:rowOff>
    </xdr:from>
    <xdr:to>
      <xdr:col>24</xdr:col>
      <xdr:colOff>38100</xdr:colOff>
      <xdr:row>2</xdr:row>
      <xdr:rowOff>85726</xdr:rowOff>
    </xdr:to>
    <xdr:sp macro="" textlink="">
      <xdr:nvSpPr>
        <xdr:cNvPr id="57" name="TextBox 56">
          <a:extLst>
            <a:ext uri="{FF2B5EF4-FFF2-40B4-BE49-F238E27FC236}">
              <a16:creationId xmlns:a16="http://schemas.microsoft.com/office/drawing/2014/main" id="{D509E24B-F250-4486-B0C1-10903EA7F3E5}"/>
            </a:ext>
          </a:extLst>
        </xdr:cNvPr>
        <xdr:cNvSpPr txBox="1"/>
      </xdr:nvSpPr>
      <xdr:spPr>
        <a:xfrm>
          <a:off x="13163550" y="161926"/>
          <a:ext cx="15049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PROFIT</a:t>
          </a:r>
          <a:r>
            <a:rPr lang="en-US" sz="1600" b="1" baseline="0">
              <a:solidFill>
                <a:schemeClr val="bg1"/>
              </a:solidFill>
            </a:rPr>
            <a:t> MARG</a:t>
          </a:r>
          <a:endParaRPr lang="en-US" sz="1600" b="1">
            <a:solidFill>
              <a:schemeClr val="bg1"/>
            </a:solidFill>
          </a:endParaRPr>
        </a:p>
      </xdr:txBody>
    </xdr:sp>
    <xdr:clientData/>
  </xdr:twoCellAnchor>
  <xdr:twoCellAnchor>
    <xdr:from>
      <xdr:col>0</xdr:col>
      <xdr:colOff>466725</xdr:colOff>
      <xdr:row>21</xdr:row>
      <xdr:rowOff>66675</xdr:rowOff>
    </xdr:from>
    <xdr:to>
      <xdr:col>14</xdr:col>
      <xdr:colOff>66675</xdr:colOff>
      <xdr:row>21</xdr:row>
      <xdr:rowOff>66675</xdr:rowOff>
    </xdr:to>
    <xdr:cxnSp macro="">
      <xdr:nvCxnSpPr>
        <xdr:cNvPr id="47" name="Straight Connector 46">
          <a:extLst>
            <a:ext uri="{FF2B5EF4-FFF2-40B4-BE49-F238E27FC236}">
              <a16:creationId xmlns:a16="http://schemas.microsoft.com/office/drawing/2014/main" id="{2E648B5B-C5B0-C496-E311-D58CBCB5058E}"/>
            </a:ext>
          </a:extLst>
        </xdr:cNvPr>
        <xdr:cNvCxnSpPr/>
      </xdr:nvCxnSpPr>
      <xdr:spPr>
        <a:xfrm flipV="1">
          <a:off x="466725" y="4067175"/>
          <a:ext cx="8134350" cy="0"/>
        </a:xfrm>
        <a:prstGeom prst="line">
          <a:avLst/>
        </a:prstGeom>
        <a:ln w="12700">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57150</xdr:colOff>
      <xdr:row>35</xdr:row>
      <xdr:rowOff>142875</xdr:rowOff>
    </xdr:from>
    <xdr:to>
      <xdr:col>21</xdr:col>
      <xdr:colOff>9525</xdr:colOff>
      <xdr:row>35</xdr:row>
      <xdr:rowOff>142875</xdr:rowOff>
    </xdr:to>
    <xdr:cxnSp macro="">
      <xdr:nvCxnSpPr>
        <xdr:cNvPr id="60" name="Straight Connector 59">
          <a:extLst>
            <a:ext uri="{FF2B5EF4-FFF2-40B4-BE49-F238E27FC236}">
              <a16:creationId xmlns:a16="http://schemas.microsoft.com/office/drawing/2014/main" id="{6620B86A-43D4-4C89-8DF8-ACB6EC676504}"/>
            </a:ext>
          </a:extLst>
        </xdr:cNvPr>
        <xdr:cNvCxnSpPr/>
      </xdr:nvCxnSpPr>
      <xdr:spPr>
        <a:xfrm flipV="1">
          <a:off x="9201150" y="6810375"/>
          <a:ext cx="3609975" cy="0"/>
        </a:xfrm>
        <a:prstGeom prst="line">
          <a:avLst/>
        </a:prstGeom>
        <a:ln w="12700">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438150</xdr:colOff>
      <xdr:row>35</xdr:row>
      <xdr:rowOff>171450</xdr:rowOff>
    </xdr:from>
    <xdr:to>
      <xdr:col>23</xdr:col>
      <xdr:colOff>485775</xdr:colOff>
      <xdr:row>35</xdr:row>
      <xdr:rowOff>171450</xdr:rowOff>
    </xdr:to>
    <xdr:cxnSp macro="">
      <xdr:nvCxnSpPr>
        <xdr:cNvPr id="62" name="Straight Connector 61">
          <a:extLst>
            <a:ext uri="{FF2B5EF4-FFF2-40B4-BE49-F238E27FC236}">
              <a16:creationId xmlns:a16="http://schemas.microsoft.com/office/drawing/2014/main" id="{F5747D8C-D765-4897-8F05-AC7490BBC144}"/>
            </a:ext>
          </a:extLst>
        </xdr:cNvPr>
        <xdr:cNvCxnSpPr/>
      </xdr:nvCxnSpPr>
      <xdr:spPr>
        <a:xfrm flipV="1">
          <a:off x="13239750" y="6838950"/>
          <a:ext cx="1266825" cy="0"/>
        </a:xfrm>
        <a:prstGeom prst="line">
          <a:avLst/>
        </a:prstGeom>
        <a:ln w="12700">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c:userShapes xmlns:c="http://schemas.openxmlformats.org/drawingml/2006/chart">
  <cdr:relSizeAnchor xmlns:cdr="http://schemas.openxmlformats.org/drawingml/2006/chartDrawing">
    <cdr:from>
      <cdr:x>0.02971</cdr:x>
      <cdr:y>0.24882</cdr:y>
    </cdr:from>
    <cdr:to>
      <cdr:x>0.97943</cdr:x>
      <cdr:y>0.24882</cdr:y>
    </cdr:to>
    <cdr:cxnSp macro="">
      <cdr:nvCxnSpPr>
        <cdr:cNvPr id="3" name="Straight Connector 2">
          <a:extLst xmlns:a="http://schemas.openxmlformats.org/drawingml/2006/main">
            <a:ext uri="{FF2B5EF4-FFF2-40B4-BE49-F238E27FC236}">
              <a16:creationId xmlns:a16="http://schemas.microsoft.com/office/drawing/2014/main" id="{75B8B6DE-54B1-D960-D94F-3C790FE95D7E}"/>
            </a:ext>
          </a:extLst>
        </cdr:cNvPr>
        <cdr:cNvCxnSpPr/>
      </cdr:nvCxnSpPr>
      <cdr:spPr>
        <a:xfrm xmlns:a="http://schemas.openxmlformats.org/drawingml/2006/main" flipV="1">
          <a:off x="253837" y="713381"/>
          <a:ext cx="8114337" cy="0"/>
        </a:xfrm>
        <a:prstGeom xmlns:a="http://schemas.openxmlformats.org/drawingml/2006/main" prst="line">
          <a:avLst/>
        </a:prstGeom>
        <a:ln xmlns:a="http://schemas.openxmlformats.org/drawingml/2006/main" w="19050" cap="flat" cmpd="sng" algn="ctr">
          <a:solidFill>
            <a:schemeClr val="dk1"/>
          </a:solidFill>
          <a:prstDash val="dash"/>
          <a:round/>
          <a:headEnd type="none" w="med" len="med"/>
          <a:tailEnd type="none" w="med" len="me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cxnSp>
  </cdr:relSizeAnchor>
  <cdr:relSizeAnchor xmlns:cdr="http://schemas.openxmlformats.org/drawingml/2006/chartDrawing">
    <cdr:from>
      <cdr:x>0.27202</cdr:x>
      <cdr:y>0.00997</cdr:y>
    </cdr:from>
    <cdr:to>
      <cdr:x>0.77592</cdr:x>
      <cdr:y>0.09635</cdr:y>
    </cdr:to>
    <cdr:sp macro="" textlink="">
      <cdr:nvSpPr>
        <cdr:cNvPr id="7" name="TextBox 6">
          <a:extLst xmlns:a="http://schemas.openxmlformats.org/drawingml/2006/main">
            <a:ext uri="{FF2B5EF4-FFF2-40B4-BE49-F238E27FC236}">
              <a16:creationId xmlns:a16="http://schemas.microsoft.com/office/drawing/2014/main" id="{524A4A2A-71F7-ECAE-3404-2823AD0ADB37}"/>
            </a:ext>
          </a:extLst>
        </cdr:cNvPr>
        <cdr:cNvSpPr txBox="1"/>
      </cdr:nvSpPr>
      <cdr:spPr>
        <a:xfrm xmlns:a="http://schemas.openxmlformats.org/drawingml/2006/main">
          <a:off x="2324100" y="28574"/>
          <a:ext cx="4305300"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tx1"/>
              </a:solidFill>
              <a:effectLst/>
              <a:latin typeface="+mn-lt"/>
              <a:ea typeface="+mn-ea"/>
              <a:cs typeface="+mn-cs"/>
            </a:rPr>
            <a:t>OCT, DEC &amp; APR GENERATES AVG REVENUE OF 9.9% </a:t>
          </a:r>
          <a:endParaRPr lang="en-US" sz="1400" b="1">
            <a:solidFill>
              <a:schemeClr val="tx1"/>
            </a:solidFill>
            <a:effectLst/>
          </a:endParaRPr>
        </a:p>
        <a:p xmlns:a="http://schemas.openxmlformats.org/drawingml/2006/main">
          <a:endParaRPr lang="en-US" sz="1400" b="1">
            <a:solidFill>
              <a:schemeClr val="tx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428626</xdr:colOff>
      <xdr:row>36</xdr:row>
      <xdr:rowOff>19049</xdr:rowOff>
    </xdr:from>
    <xdr:to>
      <xdr:col>15</xdr:col>
      <xdr:colOff>533400</xdr:colOff>
      <xdr:row>50</xdr:row>
      <xdr:rowOff>66674</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E1A39110-4CE8-B709-CA32-8FD9298D2A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7976" y="6877049"/>
              <a:ext cx="9763124" cy="2714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668111</xdr:colOff>
      <xdr:row>21</xdr:row>
      <xdr:rowOff>4083</xdr:rowOff>
    </xdr:from>
    <xdr:to>
      <xdr:col>16</xdr:col>
      <xdr:colOff>68628</xdr:colOff>
      <xdr:row>36</xdr:row>
      <xdr:rowOff>117141</xdr:rowOff>
    </xdr:to>
    <xdr:graphicFrame macro="">
      <xdr:nvGraphicFramePr>
        <xdr:cNvPr id="9" name="Chart 8">
          <a:extLst>
            <a:ext uri="{FF2B5EF4-FFF2-40B4-BE49-F238E27FC236}">
              <a16:creationId xmlns:a16="http://schemas.microsoft.com/office/drawing/2014/main" id="{770A1EF8-89E6-99F9-7847-1CBE9D8939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66675</xdr:colOff>
      <xdr:row>11</xdr:row>
      <xdr:rowOff>66675</xdr:rowOff>
    </xdr:from>
    <xdr:to>
      <xdr:col>15</xdr:col>
      <xdr:colOff>619125</xdr:colOff>
      <xdr:row>20</xdr:row>
      <xdr:rowOff>114300</xdr:rowOff>
    </xdr:to>
    <xdr:graphicFrame macro="">
      <xdr:nvGraphicFramePr>
        <xdr:cNvPr id="10" name="Chart 9">
          <a:extLst>
            <a:ext uri="{FF2B5EF4-FFF2-40B4-BE49-F238E27FC236}">
              <a16:creationId xmlns:a16="http://schemas.microsoft.com/office/drawing/2014/main" id="{E60E1967-4E8D-49C7-5FAE-17AD26BC79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581025</xdr:colOff>
      <xdr:row>59</xdr:row>
      <xdr:rowOff>95250</xdr:rowOff>
    </xdr:from>
    <xdr:to>
      <xdr:col>13</xdr:col>
      <xdr:colOff>0</xdr:colOff>
      <xdr:row>71</xdr:row>
      <xdr:rowOff>180975</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73EF9AB4-D330-D8F2-33E2-9EF89F8195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038850" y="11334750"/>
              <a:ext cx="8105775" cy="23717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19049</xdr:colOff>
      <xdr:row>84</xdr:row>
      <xdr:rowOff>133349</xdr:rowOff>
    </xdr:from>
    <xdr:to>
      <xdr:col>13</xdr:col>
      <xdr:colOff>371475</xdr:colOff>
      <xdr:row>99</xdr:row>
      <xdr:rowOff>152400</xdr:rowOff>
    </xdr:to>
    <xdr:graphicFrame macro="">
      <xdr:nvGraphicFramePr>
        <xdr:cNvPr id="22" name="Chart 21">
          <a:extLst>
            <a:ext uri="{FF2B5EF4-FFF2-40B4-BE49-F238E27FC236}">
              <a16:creationId xmlns:a16="http://schemas.microsoft.com/office/drawing/2014/main" id="{59E1DC5D-EB4B-4A57-F1B7-E9D46C0864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238124</xdr:colOff>
      <xdr:row>103</xdr:row>
      <xdr:rowOff>85725</xdr:rowOff>
    </xdr:from>
    <xdr:to>
      <xdr:col>13</xdr:col>
      <xdr:colOff>781050</xdr:colOff>
      <xdr:row>115</xdr:row>
      <xdr:rowOff>104775</xdr:rowOff>
    </xdr:to>
    <xdr:graphicFrame macro="">
      <xdr:nvGraphicFramePr>
        <xdr:cNvPr id="23" name="Chart 22">
          <a:extLst>
            <a:ext uri="{FF2B5EF4-FFF2-40B4-BE49-F238E27FC236}">
              <a16:creationId xmlns:a16="http://schemas.microsoft.com/office/drawing/2014/main" id="{C26A985F-D4EC-6EA5-E7E8-72CA4FBD7C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295275</xdr:colOff>
      <xdr:row>25</xdr:row>
      <xdr:rowOff>70757</xdr:rowOff>
    </xdr:from>
    <xdr:to>
      <xdr:col>24</xdr:col>
      <xdr:colOff>327932</xdr:colOff>
      <xdr:row>38</xdr:row>
      <xdr:rowOff>118382</xdr:rowOff>
    </xdr:to>
    <mc:AlternateContent xmlns:mc="http://schemas.openxmlformats.org/markup-compatibility/2006" xmlns:a14="http://schemas.microsoft.com/office/drawing/2010/main">
      <mc:Choice Requires="a14">
        <xdr:graphicFrame macro="">
          <xdr:nvGraphicFramePr>
            <xdr:cNvPr id="26" name="Product Category">
              <a:extLst>
                <a:ext uri="{FF2B5EF4-FFF2-40B4-BE49-F238E27FC236}">
                  <a16:creationId xmlns:a16="http://schemas.microsoft.com/office/drawing/2014/main" id="{FE280AD6-2824-84F6-BF1B-F33B3DFB501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8447204" y="483325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404132</xdr:colOff>
      <xdr:row>8</xdr:row>
      <xdr:rowOff>125186</xdr:rowOff>
    </xdr:from>
    <xdr:to>
      <xdr:col>22</xdr:col>
      <xdr:colOff>436789</xdr:colOff>
      <xdr:row>21</xdr:row>
      <xdr:rowOff>172811</xdr:rowOff>
    </xdr:to>
    <mc:AlternateContent xmlns:mc="http://schemas.openxmlformats.org/markup-compatibility/2006" xmlns:a14="http://schemas.microsoft.com/office/drawing/2010/main">
      <mc:Choice Requires="a14">
        <xdr:graphicFrame macro="">
          <xdr:nvGraphicFramePr>
            <xdr:cNvPr id="27" name="Region">
              <a:extLst>
                <a:ext uri="{FF2B5EF4-FFF2-40B4-BE49-F238E27FC236}">
                  <a16:creationId xmlns:a16="http://schemas.microsoft.com/office/drawing/2014/main" id="{9B63736D-E7CB-C090-8670-DB06CAFC249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358632" y="164918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519793</xdr:colOff>
      <xdr:row>40</xdr:row>
      <xdr:rowOff>131990</xdr:rowOff>
    </xdr:from>
    <xdr:to>
      <xdr:col>24</xdr:col>
      <xdr:colOff>552450</xdr:colOff>
      <xdr:row>53</xdr:row>
      <xdr:rowOff>179615</xdr:rowOff>
    </xdr:to>
    <mc:AlternateContent xmlns:mc="http://schemas.openxmlformats.org/markup-compatibility/2006" xmlns:a14="http://schemas.microsoft.com/office/drawing/2010/main">
      <mc:Choice Requires="a14">
        <xdr:graphicFrame macro="">
          <xdr:nvGraphicFramePr>
            <xdr:cNvPr id="28" name="Order Date (Month)">
              <a:extLst>
                <a:ext uri="{FF2B5EF4-FFF2-40B4-BE49-F238E27FC236}">
                  <a16:creationId xmlns:a16="http://schemas.microsoft.com/office/drawing/2014/main" id="{DE2E2B2F-A4F9-F7EF-CB68-A9345A7CA73E}"/>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18671722" y="77519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342900</xdr:colOff>
      <xdr:row>23</xdr:row>
      <xdr:rowOff>77560</xdr:rowOff>
    </xdr:from>
    <xdr:to>
      <xdr:col>19</xdr:col>
      <xdr:colOff>334736</xdr:colOff>
      <xdr:row>36</xdr:row>
      <xdr:rowOff>125185</xdr:rowOff>
    </xdr:to>
    <mc:AlternateContent xmlns:mc="http://schemas.openxmlformats.org/markup-compatibility/2006" xmlns:a14="http://schemas.microsoft.com/office/drawing/2010/main">
      <mc:Choice Requires="a14">
        <xdr:graphicFrame macro="">
          <xdr:nvGraphicFramePr>
            <xdr:cNvPr id="29" name="Order Date (Year)">
              <a:extLst>
                <a:ext uri="{FF2B5EF4-FFF2-40B4-BE49-F238E27FC236}">
                  <a16:creationId xmlns:a16="http://schemas.microsoft.com/office/drawing/2014/main" id="{7E41AC7D-B195-E089-A96A-6806E80C0301}"/>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15460436" y="445906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782411</xdr:colOff>
      <xdr:row>57</xdr:row>
      <xdr:rowOff>117702</xdr:rowOff>
    </xdr:from>
    <xdr:to>
      <xdr:col>21</xdr:col>
      <xdr:colOff>448656</xdr:colOff>
      <xdr:row>61</xdr:row>
      <xdr:rowOff>98189</xdr:rowOff>
    </xdr:to>
    <xdr:grpSp>
      <xdr:nvGrpSpPr>
        <xdr:cNvPr id="2" name="Group 1">
          <a:extLst>
            <a:ext uri="{FF2B5EF4-FFF2-40B4-BE49-F238E27FC236}">
              <a16:creationId xmlns:a16="http://schemas.microsoft.com/office/drawing/2014/main" id="{F7A7D8EA-ECF1-A80A-6622-6A3EE4E47A7C}"/>
            </a:ext>
          </a:extLst>
        </xdr:cNvPr>
        <xdr:cNvGrpSpPr/>
      </xdr:nvGrpSpPr>
      <xdr:grpSpPr>
        <a:xfrm>
          <a:off x="16716375" y="10976202"/>
          <a:ext cx="3802817" cy="742487"/>
          <a:chOff x="15246804" y="10976202"/>
          <a:chExt cx="4197423" cy="742487"/>
        </a:xfrm>
      </xdr:grpSpPr>
      <xdr:sp macro="" textlink="C4">
        <xdr:nvSpPr>
          <xdr:cNvPr id="4" name="Rectangle: Rounded Corners 3">
            <a:extLst>
              <a:ext uri="{FF2B5EF4-FFF2-40B4-BE49-F238E27FC236}">
                <a16:creationId xmlns:a16="http://schemas.microsoft.com/office/drawing/2014/main" id="{02641520-5E05-0695-0C2A-00F6D9EFD2A3}"/>
              </a:ext>
            </a:extLst>
          </xdr:cNvPr>
          <xdr:cNvSpPr/>
        </xdr:nvSpPr>
        <xdr:spPr>
          <a:xfrm>
            <a:off x="16655408" y="10990258"/>
            <a:ext cx="1380216" cy="71437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04771C-704F-416B-9082-4A44913CC1C6}" type="TxLink">
              <a:rPr lang="en-US" sz="3200" b="0" i="0" u="none" strike="noStrike">
                <a:solidFill>
                  <a:schemeClr val="tx1"/>
                </a:solidFill>
                <a:latin typeface="Calibri"/>
                <a:cs typeface="Calibri"/>
              </a:rPr>
              <a:pPr algn="ctr"/>
              <a:t>237 M</a:t>
            </a:fld>
            <a:endParaRPr lang="en-US" sz="3200">
              <a:solidFill>
                <a:schemeClr val="tx1"/>
              </a:solidFill>
            </a:endParaRPr>
          </a:p>
        </xdr:txBody>
      </xdr:sp>
      <xdr:sp macro="" textlink="B19">
        <xdr:nvSpPr>
          <xdr:cNvPr id="5" name="Rectangle: Rounded Corners 4">
            <a:extLst>
              <a:ext uri="{FF2B5EF4-FFF2-40B4-BE49-F238E27FC236}">
                <a16:creationId xmlns:a16="http://schemas.microsoft.com/office/drawing/2014/main" id="{6AA09D0C-61E7-41EB-9741-AAC53EDCA382}"/>
              </a:ext>
            </a:extLst>
          </xdr:cNvPr>
          <xdr:cNvSpPr/>
        </xdr:nvSpPr>
        <xdr:spPr>
          <a:xfrm>
            <a:off x="18063483" y="10976202"/>
            <a:ext cx="1380744" cy="71323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9970829-BF20-457F-B7D4-BCED2A5083B4}" type="TxLink">
              <a:rPr lang="en-US" sz="3200" b="0" i="0" u="none" strike="noStrike">
                <a:solidFill>
                  <a:schemeClr val="tx1"/>
                </a:solidFill>
                <a:latin typeface="Calibri"/>
                <a:cs typeface="Calibri"/>
              </a:rPr>
              <a:pPr algn="ctr"/>
              <a:t> 2,993 </a:t>
            </a:fld>
            <a:endParaRPr lang="en-US" sz="5400">
              <a:solidFill>
                <a:schemeClr val="tx1"/>
              </a:solidFill>
            </a:endParaRPr>
          </a:p>
        </xdr:txBody>
      </xdr:sp>
      <xdr:sp macro="" textlink="B25">
        <xdr:nvSpPr>
          <xdr:cNvPr id="6" name="Rectangle: Rounded Corners 5">
            <a:extLst>
              <a:ext uri="{FF2B5EF4-FFF2-40B4-BE49-F238E27FC236}">
                <a16:creationId xmlns:a16="http://schemas.microsoft.com/office/drawing/2014/main" id="{F13220D7-1780-45DA-A6D4-A7325B49F87E}"/>
              </a:ext>
            </a:extLst>
          </xdr:cNvPr>
          <xdr:cNvSpPr/>
        </xdr:nvSpPr>
        <xdr:spPr>
          <a:xfrm>
            <a:off x="15246804" y="11005457"/>
            <a:ext cx="1380744" cy="71323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241F24B-B1D7-4AA3-9853-F173B593BC5C}" type="TxLink">
              <a:rPr lang="en-US" sz="3200" b="0" i="0" u="none" strike="noStrike">
                <a:solidFill>
                  <a:schemeClr val="tx1"/>
                </a:solidFill>
                <a:latin typeface="Calibri"/>
                <a:cs typeface="Calibri"/>
              </a:rPr>
              <a:pPr algn="ctr"/>
              <a:t>58 M</a:t>
            </a:fld>
            <a:endParaRPr lang="en-US" sz="5400">
              <a:solidFill>
                <a:schemeClr val="tx1"/>
              </a:solidFill>
            </a:endParaRPr>
          </a:p>
        </xdr:txBody>
      </xdr:sp>
    </xdr:grpSp>
    <xdr:clientData/>
  </xdr:twoCellAnchor>
  <xdr:twoCellAnchor>
    <xdr:from>
      <xdr:col>4</xdr:col>
      <xdr:colOff>0</xdr:colOff>
      <xdr:row>29</xdr:row>
      <xdr:rowOff>0</xdr:rowOff>
    </xdr:from>
    <xdr:to>
      <xdr:col>6</xdr:col>
      <xdr:colOff>436336</xdr:colOff>
      <xdr:row>33</xdr:row>
      <xdr:rowOff>171450</xdr:rowOff>
    </xdr:to>
    <xdr:sp macro="" textlink="B32">
      <xdr:nvSpPr>
        <xdr:cNvPr id="30" name="Rectangle: Rounded Corners 29">
          <a:extLst>
            <a:ext uri="{FF2B5EF4-FFF2-40B4-BE49-F238E27FC236}">
              <a16:creationId xmlns:a16="http://schemas.microsoft.com/office/drawing/2014/main" id="{8BC22E5C-7978-4AD7-96DC-0DA11CF80B6A}"/>
            </a:ext>
          </a:extLst>
        </xdr:cNvPr>
        <xdr:cNvSpPr/>
      </xdr:nvSpPr>
      <xdr:spPr>
        <a:xfrm>
          <a:off x="4122964" y="5524500"/>
          <a:ext cx="2232479" cy="933450"/>
        </a:xfrm>
        <a:prstGeom prst="round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AE379F0-7E9B-4E1F-B37D-F8495E4F6F3E}" type="TxLink">
            <a:rPr lang="en-US" sz="1600" b="0" i="0" u="none" strike="noStrike">
              <a:solidFill>
                <a:srgbClr val="000000"/>
              </a:solidFill>
              <a:latin typeface="Calibri"/>
              <a:cs typeface="Calibri"/>
            </a:rPr>
            <a:pPr algn="ctr"/>
            <a:t>179 M</a:t>
          </a:fld>
          <a:endParaRPr lang="en-US" sz="4800">
            <a:solidFill>
              <a:schemeClr val="tx1"/>
            </a:solidFill>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0.02748</cdr:x>
      <cdr:y>0.28869</cdr:y>
    </cdr:from>
    <cdr:to>
      <cdr:x>0.9772</cdr:x>
      <cdr:y>0.28869</cdr:y>
    </cdr:to>
    <cdr:cxnSp macro="">
      <cdr:nvCxnSpPr>
        <cdr:cNvPr id="3" name="Straight Connector 2">
          <a:extLst xmlns:a="http://schemas.openxmlformats.org/drawingml/2006/main">
            <a:ext uri="{FF2B5EF4-FFF2-40B4-BE49-F238E27FC236}">
              <a16:creationId xmlns:a16="http://schemas.microsoft.com/office/drawing/2014/main" id="{75B8B6DE-54B1-D960-D94F-3C790FE95D7E}"/>
            </a:ext>
          </a:extLst>
        </cdr:cNvPr>
        <cdr:cNvCxnSpPr/>
      </cdr:nvCxnSpPr>
      <cdr:spPr>
        <a:xfrm xmlns:a="http://schemas.openxmlformats.org/drawingml/2006/main" flipV="1">
          <a:off x="312253" y="1396862"/>
          <a:ext cx="10789920" cy="0"/>
        </a:xfrm>
        <a:prstGeom xmlns:a="http://schemas.openxmlformats.org/drawingml/2006/main" prst="line">
          <a:avLst/>
        </a:prstGeom>
        <a:ln xmlns:a="http://schemas.openxmlformats.org/drawingml/2006/main" w="9525" cap="flat" cmpd="sng" algn="ctr">
          <a:solidFill>
            <a:schemeClr val="dk1"/>
          </a:solidFill>
          <a:prstDash val="dash"/>
          <a:round/>
          <a:headEnd type="none" w="med" len="med"/>
          <a:tailEnd type="none" w="med" len="me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cxn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56134261" backgroundQuery="1" createdVersion="8" refreshedVersion="8" minRefreshableVersion="3" recordCount="0" supportSubquery="1" supportAdvancedDrill="1" xr:uid="{613EE703-0269-463D-A47A-55F7E810B288}">
  <cacheSource type="external" connectionId="2"/>
  <cacheFields count="2">
    <cacheField name="[Measures].[Sum of Quantity]" caption="Sum of Quantity" numFmtId="0" hierarchy="18"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hidden="1">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56828701" backgroundQuery="1" createdVersion="8" refreshedVersion="8" minRefreshableVersion="3" recordCount="0" supportSubquery="1" supportAdvancedDrill="1" xr:uid="{2C6BAEF6-2686-4288-993F-3A1BBE245AF7}">
  <cacheSource type="external" connectionId="2"/>
  <cacheFields count="2">
    <cacheField name="[Measures].[Sum of Cost]" caption="Sum of Cost" numFmtId="0" hierarchy="21"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hidden="1">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oneField="1" hidden="1">
      <fieldsUsage count="1">
        <fieldUsage x="0"/>
      </fieldsUsage>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57407409" backgroundQuery="1" createdVersion="8" refreshedVersion="8" minRefreshableVersion="3" recordCount="0" supportSubquery="1" supportAdvancedDrill="1" xr:uid="{6414C893-157B-458C-95EA-E8E762C9027B}">
  <cacheSource type="external" connectionId="2"/>
  <cacheFields count="2">
    <cacheField name="[Measures].[Sum of Total Sales]" caption="Sum of Total Sales" numFmtId="0" hierarchy="17"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58333332" backgroundQuery="1" createdVersion="8" refreshedVersion="8" minRefreshableVersion="3" recordCount="0" supportSubquery="1" supportAdvancedDrill="1" xr:uid="{DDEAA074-7BB6-446F-BED5-8EE9CB6FC76C}">
  <cacheSource type="external" connectionId="2"/>
  <cacheFields count="3">
    <cacheField name="[MegaMart].[Product Name].[Product Name]" caption="Product Name" numFmtId="0" hierarchy="5" level="1">
      <sharedItems count="6">
        <s v="Dawlance 30L"/>
        <s v="Dawlance 91996"/>
        <s v="LG Front Load"/>
        <s v="Panasonic Grill"/>
        <s v="PEL Arctic"/>
        <s v="Dell XPS 13" u="1"/>
      </sharedItems>
    </cacheField>
    <cacheField name="[Measures].[Sum of Total Sales]" caption="Sum of Total Sales" numFmtId="0" hierarchy="17"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2" memberValueDatatype="130" unbalanced="0">
      <fieldsUsage count="2">
        <fieldUsage x="-1"/>
        <fieldUsage x="0"/>
      </fieldsUsage>
    </cacheHierarchy>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2"/>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59143518" backgroundQuery="1" createdVersion="8" refreshedVersion="8" minRefreshableVersion="3" recordCount="0" supportSubquery="1" supportAdvancedDrill="1" xr:uid="{97BB28DA-1900-425D-9AF2-60AE955CA258}">
  <cacheSource type="external" connectionId="2"/>
  <cacheFields count="4">
    <cacheField name="[MegaMart].[Order Date (Month)].[Order Date (Month)]" caption="Order Date (Month)" numFmtId="0" hierarchy="13" level="1">
      <sharedItems count="12">
        <s v="Jun"/>
        <s v="Jul"/>
        <s v="Aug"/>
        <s v="Sep"/>
        <s v="Oct"/>
        <s v="Nov"/>
        <s v="Dec"/>
        <s v="Jan"/>
        <s v="Feb"/>
        <s v="Mar"/>
        <s v="Apr"/>
        <s v="May"/>
      </sharedItems>
    </cacheField>
    <cacheField name="[MegaMart].[Order Date (Year)].[Order Date (Year)]" caption="Order Date (Year)" numFmtId="0" hierarchy="11" level="1">
      <sharedItems count="2">
        <s v="2024"/>
        <s v="2025"/>
      </sharedItems>
    </cacheField>
    <cacheField name="[Measures].[Sum of Total Sales]" caption="Sum of Total Sales" numFmtId="0" hierarchy="17" level="32767"/>
    <cacheField name="[Measures].[Sum of Profit]" caption="Sum of Profit" numFmtId="0" hierarchy="19" level="32767"/>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fieldsUsage count="2">
        <fieldUsage x="-1"/>
        <fieldUsage x="0"/>
      </fieldsUsage>
    </cacheHierarchy>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oneField="1" hidden="1">
      <fieldsUsage count="1">
        <fieldUsage x="3"/>
      </fieldsUsage>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0879626" backgroundQuery="1" createdVersion="8" refreshedVersion="8" minRefreshableVersion="3" recordCount="0" supportSubquery="1" supportAdvancedDrill="1" xr:uid="{29FDBB90-3613-4902-98BB-9A05019938F9}">
  <cacheSource type="external" connectionId="2"/>
  <cacheFields count="4">
    <cacheField name="[MegaMart].[Product Name].[Product Name]" caption="Product Name" numFmtId="0" hierarchy="5" level="1">
      <sharedItems count="6">
        <s v="Dawlance 30L"/>
        <s v="Dawlance 91996"/>
        <s v="LG Front Load"/>
        <s v="Panasonic Grill"/>
        <s v="PEL Arctic"/>
        <s v="Dell XPS 13" u="1"/>
      </sharedItems>
    </cacheField>
    <cacheField name="[Measures].[Sum of Total Sales]" caption="Sum of Total Sales" numFmtId="0" hierarchy="17" level="32767"/>
    <cacheField name="[MegaMart].[Product Category].[Product Category]" caption="Product Category" numFmtId="0" hierarchy="4" level="1">
      <sharedItems count="7">
        <s v="AC"/>
        <s v="Laptop"/>
        <s v="Microwave"/>
        <s v="Mobile"/>
        <s v="Refrigerator"/>
        <s v="TV"/>
        <s v="Washing Machine"/>
      </sharedItems>
    </cacheField>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fieldsUsage count="2">
        <fieldUsage x="-1"/>
        <fieldUsage x="2"/>
      </fieldsUsage>
    </cacheHierarchy>
    <cacheHierarchy uniqueName="[MegaMart].[Product Name]" caption="Product Name" attribute="1" defaultMemberUniqueName="[MegaMart].[Product Name].[All]" allUniqueName="[MegaMart].[Product Name].[All]" dimensionUniqueName="[MegaMart]" displayFolder="" count="2" memberValueDatatype="130" unbalanced="0">
      <fieldsUsage count="2">
        <fieldUsage x="-1"/>
        <fieldUsage x="0"/>
      </fieldsUsage>
    </cacheHierarchy>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3"/>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2037035" backgroundQuery="1" createdVersion="8" refreshedVersion="8" minRefreshableVersion="3" recordCount="0" supportSubquery="1" supportAdvancedDrill="1" xr:uid="{D1CEF711-3CB0-42D2-86CA-4B0E1C19291D}">
  <cacheSource type="external" connectionId="2"/>
  <cacheFields count="5">
    <cacheField name="[MegaMart].[Product Name].[Product Name]" caption="Product Name" numFmtId="0" hierarchy="5" level="1">
      <sharedItems count="5">
        <s v="Dawlance 30L"/>
        <s v="Dawlance 91996"/>
        <s v="LG Front Load"/>
        <s v="Panasonic Grill"/>
        <s v="PEL Arctic"/>
      </sharedItems>
    </cacheField>
    <cacheField name="[MegaMart].[Customer Name].[Customer Name]" caption="Customer Name" numFmtId="0" hierarchy="2" level="1">
      <sharedItems count="10">
        <s v="Anthony Gardner"/>
        <s v="Brenda Mcgrath"/>
        <s v="Jasmin Bowman"/>
        <s v="Jessica Johnson"/>
        <s v="John Ryan"/>
        <s v="Kristin Morgan"/>
        <s v="Melanie Jackson"/>
        <s v="Michael Waters"/>
        <s v="Pamela Underwood"/>
        <s v="Ryan Williams"/>
      </sharedItems>
    </cacheField>
    <cacheField name="[Measures].[Sum of Total Sales]" caption="Sum of Total Sales" numFmtId="0" hierarchy="17" level="32767"/>
    <cacheField name="[Measures].[Sum of Profit]" caption="Sum of Profit" numFmtId="0" hierarchy="19"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2" memberValueDatatype="130" unbalanced="0">
      <fieldsUsage count="2">
        <fieldUsage x="-1"/>
        <fieldUsage x="1"/>
      </fieldsUsage>
    </cacheHierarchy>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2" memberValueDatatype="130" unbalanced="0">
      <fieldsUsage count="2">
        <fieldUsage x="-1"/>
        <fieldUsage x="0"/>
      </fieldsUsage>
    </cacheHierarchy>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4"/>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oneField="1" hidden="1">
      <fieldsUsage count="1">
        <fieldUsage x="3"/>
      </fieldsUsage>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2962966" backgroundQuery="1" createdVersion="8" refreshedVersion="8" minRefreshableVersion="3" recordCount="0" supportSubquery="1" supportAdvancedDrill="1" xr:uid="{ED16BEF0-30F2-4903-9F20-EBA7AF674E1D}">
  <cacheSource type="external" connectionId="2"/>
  <cacheFields count="2">
    <cacheField name="[Measures].[Sum of Profit]" caption="Sum of Profit" numFmtId="0" hierarchy="19"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hidden="1">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388889" backgroundQuery="1" createdVersion="8" refreshedVersion="8" minRefreshableVersion="3" recordCount="0" supportSubquery="1" supportAdvancedDrill="1" xr:uid="{872D70FE-F307-4767-B294-5816848A5491}">
  <cacheSource type="external" connectionId="2"/>
  <cacheFields count="4">
    <cacheField name="[MegaMart].[Region].[Region]" caption="Region" numFmtId="0" hierarchy="3" level="1">
      <sharedItems count="5">
        <s v="Central"/>
        <s v="East"/>
        <s v="North"/>
        <s v="South"/>
        <s v="West"/>
      </sharedItems>
    </cacheField>
    <cacheField name="[Measures].[Sum of Total Sales]" caption="Sum of Total Sales" numFmtId="0" hierarchy="17" level="32767"/>
    <cacheField name="[Measures].[Sum of Profit]" caption="Sum of Profit" numFmtId="0" hierarchy="19"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fieldsUsage count="2">
        <fieldUsage x="-1"/>
        <fieldUsage x="0"/>
      </fieldsUsage>
    </cacheHierarchy>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3"/>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5740737" backgroundQuery="1" createdVersion="8" refreshedVersion="8" minRefreshableVersion="3" recordCount="0" supportSubquery="1" supportAdvancedDrill="1" xr:uid="{287B67C2-D9AF-4D52-A63B-627583F5AF14}">
  <cacheSource type="external" connectionId="2"/>
  <cacheFields count="3">
    <cacheField name="[MegaMart].[Product Name].[Product Name]" caption="Product Name" numFmtId="0" hierarchy="5" level="1">
      <sharedItems count="5">
        <s v="Dell XPS 13"/>
        <s v="Haier Inverter"/>
        <s v="HP Pavilion"/>
        <s v="LG OLED 65&quot;"/>
        <s v="Sony Bravia 50&quot;"/>
      </sharedItems>
    </cacheField>
    <cacheField name="[Measures].[Sum of Total Sales]" caption="Sum of Total Sales" numFmtId="0" hierarchy="17"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2" memberValueDatatype="130" unbalanced="0">
      <fieldsUsage count="2">
        <fieldUsage x="-1"/>
        <fieldUsage x="0"/>
      </fieldsUsage>
    </cacheHierarchy>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2"/>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691266666669" backgroundQuery="1" createdVersion="8" refreshedVersion="8" minRefreshableVersion="3" recordCount="0" supportSubquery="1" supportAdvancedDrill="1" xr:uid="{C99A884F-B304-408D-BA23-9C33E872EF95}">
  <cacheSource type="external" connectionId="2"/>
  <cacheFields count="2">
    <cacheField name="[Measures].[Sum of Profit]" caption="Sum of Profit" numFmtId="0" hierarchy="19" level="32767"/>
    <cacheField name="[MegaMart].[Order Date (Year)].[Order Date (Year)]" caption="Order Date (Year)" numFmtId="0" hierarchy="11" level="1">
      <sharedItems containsSemiMixedTypes="0" containsNonDate="0" containsString="0"/>
    </cacheField>
  </cacheFields>
  <cacheHierarchies count="22">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0"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fieldsUsage count="2">
        <fieldUsage x="-1"/>
        <fieldUsage x="1"/>
      </fieldsUsage>
    </cacheHierarchy>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hidden="1">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y uniqueName="[Measures].[Sum of Cost]" caption="Sum of Cost" measure="1" displayFolder="" measureGroup="MegaMart"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MegaMart" uniqueName="[MegaMart]" caption="MegaMart"/>
  </dimensions>
  <measureGroups count="1">
    <measureGroup name="MegaMart" caption="MegaMa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0.375520254631" backgroundQuery="1" createdVersion="3" refreshedVersion="8" minRefreshableVersion="3" recordCount="0" supportSubquery="1" supportAdvancedDrill="1" xr:uid="{86CA256C-3A04-4018-B9A4-598809D4E987}">
  <cacheSource type="external" connectionId="2">
    <extLst>
      <ext xmlns:x14="http://schemas.microsoft.com/office/spreadsheetml/2009/9/main" uri="{F057638F-6D5F-4e77-A914-E7F072B9BCA8}">
        <x14:sourceConnection name="ThisWorkbookDataModel"/>
      </ext>
    </extLst>
  </cacheSource>
  <cacheFields count="0"/>
  <cacheHierarchies count="21">
    <cacheHierarchy uniqueName="[MegaMart].[Order ID]" caption="Order ID" attribute="1" defaultMemberUniqueName="[MegaMart].[Order ID].[All]" allUniqueName="[MegaMart].[Order ID].[All]" dimensionUniqueName="[MegaMart]" displayFolder="" count="0" memberValueDatatype="130" unbalanced="0"/>
    <cacheHierarchy uniqueName="[MegaMart].[Order Date]" caption="Order Date" attribute="1" time="1" defaultMemberUniqueName="[MegaMart].[Order Date].[All]" allUniqueName="[MegaMart].[Order Date].[All]" dimensionUniqueName="[MegaMart]" displayFolder="" count="2" memberValueDatatype="7" unbalanced="0"/>
    <cacheHierarchy uniqueName="[MegaMart].[Customer Name]" caption="Customer Name" attribute="1" defaultMemberUniqueName="[MegaMart].[Customer Name].[All]" allUniqueName="[MegaMart].[Customer Name].[All]" dimensionUniqueName="[MegaMart]" displayFolder="" count="0" memberValueDatatype="130" unbalanced="0"/>
    <cacheHierarchy uniqueName="[MegaMart].[Region]" caption="Region" attribute="1" defaultMemberUniqueName="[MegaMart].[Region].[All]" allUniqueName="[MegaMart].[Region].[All]" dimensionUniqueName="[MegaMart]" displayFolder="" count="2" memberValueDatatype="130" unbalanced="0"/>
    <cacheHierarchy uniqueName="[MegaMart].[Product Category]" caption="Product Category" attribute="1" defaultMemberUniqueName="[MegaMart].[Product Category].[All]" allUniqueName="[MegaMart].[Product Category].[All]" dimensionUniqueName="[MegaMart]" displayFolder="" count="2" memberValueDatatype="130" unbalanced="0"/>
    <cacheHierarchy uniqueName="[MegaMart].[Product Name]" caption="Product Name" attribute="1" defaultMemberUniqueName="[MegaMart].[Product Name].[All]" allUniqueName="[MegaMart].[Product Name].[All]" dimensionUniqueName="[MegaMart]" displayFolder="" count="0" memberValueDatatype="130" unbalanced="0"/>
    <cacheHierarchy uniqueName="[MegaMart].[Quantity]" caption="Quantity" attribute="1" defaultMemberUniqueName="[MegaMart].[Quantity].[All]" allUniqueName="[MegaMart].[Quantity].[All]" dimensionUniqueName="[MegaMart]" displayFolder="" count="0" memberValueDatatype="20" unbalanced="0"/>
    <cacheHierarchy uniqueName="[MegaMart].[Unit Price]" caption="Unit Price" attribute="1" defaultMemberUniqueName="[MegaMart].[Unit Price].[All]" allUniqueName="[MegaMart].[Unit Price].[All]" dimensionUniqueName="[MegaMart]" displayFolder="" count="0" memberValueDatatype="6" unbalanced="0"/>
    <cacheHierarchy uniqueName="[MegaMart].[Total Sales]" caption="Total Sales" attribute="1" defaultMemberUniqueName="[MegaMart].[Total Sales].[All]" allUniqueName="[MegaMart].[Total Sales].[All]" dimensionUniqueName="[MegaMart]" displayFolder="" count="0" memberValueDatatype="6" unbalanced="0"/>
    <cacheHierarchy uniqueName="[MegaMart].[Cost]" caption="Cost" attribute="1" defaultMemberUniqueName="[MegaMart].[Cost].[All]" allUniqueName="[MegaMart].[Cost].[All]" dimensionUniqueName="[MegaMart]" displayFolder="" count="0" memberValueDatatype="6" unbalanced="0"/>
    <cacheHierarchy uniqueName="[MegaMart].[Profit]" caption="Profit" attribute="1" defaultMemberUniqueName="[MegaMart].[Profit].[All]" allUniqueName="[MegaMart].[Profit].[All]" dimensionUniqueName="[MegaMart]" displayFolder="" count="0" memberValueDatatype="6" unbalanced="0"/>
    <cacheHierarchy uniqueName="[MegaMart].[Order Date (Year)]" caption="Order Date (Year)" attribute="1" defaultMemberUniqueName="[MegaMart].[Order Date (Year)].[All]" allUniqueName="[MegaMart].[Order Date (Year)].[All]" dimensionUniqueName="[MegaMart]" displayFolder="" count="2" memberValueDatatype="130" unbalanced="0"/>
    <cacheHierarchy uniqueName="[MegaMart].[Order Date (Quarter)]" caption="Order Date (Quarter)" attribute="1" defaultMemberUniqueName="[MegaMart].[Order Date (Quarter)].[All]" allUniqueName="[MegaMart].[Order Date (Quarter)].[All]" dimensionUniqueName="[MegaMart]" displayFolder="" count="0" memberValueDatatype="130" unbalanced="0"/>
    <cacheHierarchy uniqueName="[MegaMart].[Order Date (Month)]" caption="Order Date (Month)" attribute="1" defaultMemberUniqueName="[MegaMart].[Order Date (Month)].[All]" allUniqueName="[MegaMart].[Order Date (Month)].[All]" dimensionUniqueName="[MegaMart]" displayFolder="" count="2" memberValueDatatype="130" unbalanced="0"/>
    <cacheHierarchy uniqueName="[MegaMart].[Order Date (Month Index)]" caption="Order Date (Month Index)" attribute="1" defaultMemberUniqueName="[MegaMart].[Order Date (Month Index)].[All]" allUniqueName="[MegaMart].[Order Date (Month Index)].[All]" dimensionUniqueName="[MegaMart]" displayFolder="" count="0" memberValueDatatype="20" unbalanced="0" hidden="1"/>
    <cacheHierarchy uniqueName="[Measures].[__XL_Count MegaMart]" caption="__XL_Count MegaMart" measure="1" displayFolder="" measureGroup="MegaMart" count="0" hidden="1"/>
    <cacheHierarchy uniqueName="[Measures].[__No measures defined]" caption="__No measures defined" measure="1" displayFolder="" count="0" hidden="1"/>
    <cacheHierarchy uniqueName="[Measures].[Sum of Total Sales]" caption="Sum of Total Sales" measure="1" displayFolder="" measureGroup="MegaMart" count="0" hidden="1">
      <extLst>
        <ext xmlns:x15="http://schemas.microsoft.com/office/spreadsheetml/2010/11/main" uri="{B97F6D7D-B522-45F9-BDA1-12C45D357490}">
          <x15:cacheHierarchy aggregatedColumn="8"/>
        </ext>
      </extLst>
    </cacheHierarchy>
    <cacheHierarchy uniqueName="[Measures].[Sum of Quantity]" caption="Sum of Quantity" measure="1" displayFolder="" measureGroup="MegaMart"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MegaMart" count="0" hidden="1">
      <extLst>
        <ext xmlns:x15="http://schemas.microsoft.com/office/spreadsheetml/2010/11/main" uri="{B97F6D7D-B522-45F9-BDA1-12C45D357490}">
          <x15:cacheHierarchy aggregatedColumn="10"/>
        </ext>
      </extLst>
    </cacheHierarchy>
    <cacheHierarchy uniqueName="[Measures].[Count of Product Name]" caption="Count of Product Name" measure="1" displayFolder="" measureGroup="MegaMart"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0626746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A1AB0A-4582-45BC-BC8E-1E75B38D0A26}" name="PivotTable36"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6">
  <location ref="B103:D113"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0">
    <i>
      <x/>
    </i>
    <i>
      <x v="1"/>
    </i>
    <i>
      <x v="2"/>
    </i>
    <i>
      <x v="3"/>
    </i>
    <i>
      <x v="4"/>
    </i>
    <i>
      <x v="5"/>
    </i>
    <i>
      <x v="6"/>
    </i>
    <i>
      <x v="7"/>
    </i>
    <i>
      <x v="8"/>
    </i>
    <i>
      <x v="9"/>
    </i>
  </rowItems>
  <colFields count="1">
    <field x="-2"/>
  </colFields>
  <colItems count="2">
    <i>
      <x/>
    </i>
    <i i="1">
      <x v="1"/>
    </i>
  </colItems>
  <dataFields count="2">
    <dataField name="Sum of Total Sales" fld="2" baseField="0" baseItem="0"/>
    <dataField name="Sum of Profit" fld="3" baseField="0" baseItem="0"/>
  </dataFields>
  <formats count="1">
    <format dxfId="0">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8" iMeasureHier="17">
      <autoFilter ref="A1">
        <filterColumn colId="0">
          <top10 val="10" filterVal="10"/>
        </filterColumn>
      </autoFilter>
    </filter>
    <filter fld="0" type="count" id="5" iMeasureHier="17">
      <autoFilter ref="A1">
        <filterColumn colId="0">
          <top10 top="0" val="5" filterVal="5"/>
        </filterColumn>
      </autoFilter>
    </filter>
  </filter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411A9C-3981-40FC-8467-B7DF6DE366FB}" name="PivotTable2"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6:B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formats count="1">
    <format dxfId="1">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C3036E-47B9-4A30-B35C-A5FDC809718C}" name="PivotTable31"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
  <location ref="B83:C90" firstHeaderRow="1" firstDataRow="1" firstDataCol="1"/>
  <pivotFields count="4">
    <pivotField allDrilled="1" subtotalTop="0" showAll="0" measureFilter="1"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
    <i>
      <x v="5"/>
    </i>
    <i>
      <x v="1"/>
    </i>
    <i>
      <x/>
    </i>
    <i>
      <x v="3"/>
    </i>
    <i>
      <x v="6"/>
    </i>
    <i>
      <x v="2"/>
    </i>
    <i>
      <x v="4"/>
    </i>
  </rowItems>
  <colItems count="1">
    <i/>
  </colItems>
  <dataFields count="1">
    <dataField name="Sum of Total Sales" fld="1" baseField="0" baseItem="0" numFmtId="164"/>
  </dataFields>
  <formats count="1">
    <format dxfId="2">
      <pivotArea outline="0" collapsedLevelsAreSubtotals="1" fieldPosition="0"/>
    </format>
  </formats>
  <chartFormats count="1">
    <chartFormat chart="1" format="4"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5" iMeasureHier="17">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FF196B-3575-4EF2-800D-BDE17D1F6810}" name="PivotTable7" cacheId="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
  <location ref="B38:C43"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3"/>
    </i>
    <i>
      <x v="4"/>
    </i>
    <i>
      <x v="2"/>
    </i>
    <i>
      <x v="1"/>
    </i>
    <i>
      <x/>
    </i>
  </rowItems>
  <colItems count="1">
    <i/>
  </colItems>
  <dataFields count="1">
    <dataField name="Sum of Total Sales" fld="1" baseField="0" baseItem="0" numFmtId="164"/>
  </dataFields>
  <formats count="2">
    <format dxfId="4">
      <pivotArea collapsedLevelsAreSubtotals="1" fieldPosition="0">
        <references count="1">
          <reference field="0" count="1">
            <x v="0"/>
          </reference>
        </references>
      </pivotArea>
    </format>
    <format dxfId="3">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5" iMeasureHier="17">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6D251E-C986-495F-A859-BA4CF5E25EF9}" name="PivotTable5" cacheId="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5">
  <location ref="L5:N10" firstHeaderRow="0" firstDataRow="1" firstDataCol="1"/>
  <pivotFields count="4">
    <pivotField axis="axisRow" allDrilled="1" showAll="0" dataSourceSort="1" defaultSubtotal="0" defaultAttributeDrillState="1">
      <items count="5">
        <item x="0"/>
        <item x="1"/>
        <item x="2"/>
        <item x="3"/>
        <item x="4"/>
      </items>
    </pivotField>
    <pivotField dataField="1"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name="Sum of Total Sales" fld="1" baseField="0" baseItem="0"/>
    <dataField name="Sum of Profit" fld="2" baseField="0" baseItem="0"/>
  </dataFields>
  <formats count="1">
    <format dxfId="5">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FD2814-2BE3-4BA2-B9E4-DC5FB0F00FDC}" name="PivotTable8"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P3:P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dataFields>
  <formats count="1">
    <format dxfId="6">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DEE685-9485-4B47-8861-E93FF2655141}" name="PivotTable4"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1:B2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dataFields>
  <formats count="1">
    <format dxfId="7">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F19CD1-10BF-4F97-91FE-D3C157B69EC8}"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B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Total Sales" fld="0" baseField="0" baseItem="0" numFmtId="164"/>
  </dataFields>
  <formats count="1">
    <format dxfId="8">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3D0B258-1DAD-49EB-873D-5E1A96052AF1}" name="PivotTable37"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33:D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Cost" fld="0" baseField="0" baseItem="0"/>
  </dataFields>
  <formats count="1">
    <format dxfId="9">
      <pivotArea outline="0" collapsedLevelsAreSubtotals="1" fieldPosition="0"/>
    </format>
  </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43F52B5-9072-45C4-9CEE-6DB50BB43F53}" name="PivotTable12" cacheId="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
  <location ref="B61:C66" firstHeaderRow="1" firstDataRow="1" firstDataCol="1"/>
  <pivotFields count="3">
    <pivotField axis="axisRow" allDrilled="1" subtotalTop="0" showAll="0" measureFilter="1"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2"/>
    </i>
    <i>
      <x v="1"/>
    </i>
    <i>
      <x v="4"/>
    </i>
    <i>
      <x/>
    </i>
    <i>
      <x v="3"/>
    </i>
  </rowItems>
  <colItems count="1">
    <i/>
  </colItems>
  <dataFields count="1">
    <dataField name="Sum of Total Sales" fld="1" baseField="0" baseItem="0" numFmtId="164"/>
  </dataFields>
  <formats count="2">
    <format dxfId="11">
      <pivotArea collapsedLevelsAreSubtotals="1" fieldPosition="0">
        <references count="1">
          <reference field="0" count="1">
            <x v="5"/>
          </reference>
        </references>
      </pivotArea>
    </format>
    <format dxfId="10">
      <pivotArea outline="0" collapsedLevelsAreSubtotals="1" fieldPosition="0"/>
    </format>
  </formats>
  <chartFormats count="1">
    <chartFormat chart="1" format="4"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5" iMeasureHier="17">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D24922B-7769-4479-925A-549CF9CB6063}" name="PivotTable3"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H5:J20" firstHeaderRow="0" firstDataRow="1" firstDataCol="1"/>
  <pivotFields count="4">
    <pivotField axis="axisRow" allDrilled="1" showAll="0" dataSourceSort="1" defaultSubtotal="0" defaultAttributeDrillState="1">
      <items count="12">
        <item x="0"/>
        <item x="1"/>
        <item x="2"/>
        <item x="3"/>
        <item x="4"/>
        <item x="5"/>
        <item x="6"/>
        <item x="7"/>
        <item x="8"/>
        <item x="9"/>
        <item x="10"/>
        <item x="11"/>
      </items>
    </pivotField>
    <pivotField axis="axisRow" allDrilled="1" showAll="0" dataSourceSort="1" defaultSubtotal="0">
      <items count="2">
        <item x="0"/>
        <item x="1"/>
      </items>
    </pivotField>
    <pivotField dataField="1" subtotalTop="0" showAll="0" defaultSubtotal="0"/>
    <pivotField dataField="1" subtotalTop="0" showAll="0" defaultSubtotal="0"/>
  </pivotFields>
  <rowFields count="2">
    <field x="1"/>
    <field x="0"/>
  </rowFields>
  <rowItems count="15">
    <i>
      <x/>
    </i>
    <i r="1">
      <x/>
    </i>
    <i r="1">
      <x v="1"/>
    </i>
    <i r="1">
      <x v="2"/>
    </i>
    <i r="1">
      <x v="3"/>
    </i>
    <i r="1">
      <x v="4"/>
    </i>
    <i r="1">
      <x v="5"/>
    </i>
    <i r="1">
      <x v="6"/>
    </i>
    <i>
      <x v="1"/>
    </i>
    <i r="1">
      <x v="7"/>
    </i>
    <i r="1">
      <x v="8"/>
    </i>
    <i r="1">
      <x v="9"/>
    </i>
    <i r="1">
      <x v="10"/>
    </i>
    <i r="1">
      <x v="11"/>
    </i>
    <i r="1">
      <x/>
    </i>
  </rowItems>
  <colFields count="1">
    <field x="-2"/>
  </colFields>
  <colItems count="2">
    <i>
      <x/>
    </i>
    <i i="1">
      <x v="1"/>
    </i>
  </colItems>
  <dataFields count="2">
    <dataField name="Sum of Total Sales" fld="2" baseField="0" baseItem="0"/>
    <dataField name="Sum of Profit" fld="3" baseField="0" baseItem="0"/>
  </dataFields>
  <formats count="4">
    <format dxfId="15">
      <pivotArea outline="0" collapsedLevelsAreSubtotals="1" fieldPosition="0"/>
    </format>
    <format dxfId="14">
      <pivotArea collapsedLevelsAreSubtotals="1" fieldPosition="0">
        <references count="2">
          <reference field="0" count="7">
            <x v="0"/>
            <x v="1"/>
            <x v="2"/>
            <x v="3"/>
            <x v="4"/>
            <x v="5"/>
            <x v="6"/>
          </reference>
          <reference field="1" count="1" selected="0">
            <x v="0"/>
          </reference>
        </references>
      </pivotArea>
    </format>
    <format dxfId="13">
      <pivotArea collapsedLevelsAreSubtotals="1" fieldPosition="0">
        <references count="1">
          <reference field="1" count="1">
            <x v="1"/>
          </reference>
        </references>
      </pivotArea>
    </format>
    <format dxfId="12">
      <pivotArea collapsedLevelsAreSubtotals="1" fieldPosition="0">
        <references count="2">
          <reference field="0" count="6">
            <x v="0"/>
            <x v="7"/>
            <x v="8"/>
            <x v="9"/>
            <x v="10"/>
            <x v="11"/>
          </reference>
          <reference field="1" count="1" selected="0">
            <x v="1"/>
          </reference>
        </references>
      </pivotArea>
    </format>
  </format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3">
          <reference field="4294967294" count="1" selected="0">
            <x v="0"/>
          </reference>
          <reference field="0" count="1" selected="0">
            <x v="6"/>
          </reference>
          <reference field="1" count="1" selected="0">
            <x v="0"/>
          </reference>
        </references>
      </pivotArea>
    </chartFormat>
    <chartFormat chart="3" format="7">
      <pivotArea type="data" outline="0" fieldPosition="0">
        <references count="3">
          <reference field="4294967294" count="1" selected="0">
            <x v="0"/>
          </reference>
          <reference field="0" count="1" selected="0">
            <x v="10"/>
          </reference>
          <reference field="1" count="1" selected="0">
            <x v="1"/>
          </reference>
        </references>
      </pivotArea>
    </chartFormat>
    <chartFormat chart="3" format="8">
      <pivotArea type="data" outline="0" fieldPosition="0">
        <references count="3">
          <reference field="4294967294" count="1" selected="0">
            <x v="0"/>
          </reference>
          <reference field="0" count="1" selected="0">
            <x v="4"/>
          </reference>
          <reference field="1" count="1" selected="0">
            <x v="0"/>
          </reference>
        </references>
      </pivotArea>
    </chartFormat>
    <chartFormat chart="3" format="9">
      <pivotArea type="data" outline="0" fieldPosition="0">
        <references count="3">
          <reference field="4294967294" count="1" selected="0">
            <x v="0"/>
          </reference>
          <reference field="0" count="1" selected="0">
            <x v="11"/>
          </reference>
          <reference field="1" count="1" selected="0">
            <x v="1"/>
          </reference>
        </references>
      </pivotArea>
    </chartFormat>
    <chartFormat chart="3" format="10">
      <pivotArea type="data" outline="0" fieldPosition="0">
        <references count="3">
          <reference field="4294967294" count="1" selected="0">
            <x v="1"/>
          </reference>
          <reference field="0" count="1" selected="0">
            <x v="10"/>
          </reference>
          <reference field="1" count="1" selected="0">
            <x v="1"/>
          </reference>
        </references>
      </pivotArea>
    </chartFormat>
    <chartFormat chart="3" format="11">
      <pivotArea type="data" outline="0" fieldPosition="0">
        <references count="3">
          <reference field="4294967294" count="1" selected="0">
            <x v="1"/>
          </reference>
          <reference field="0" count="1" selected="0">
            <x v="6"/>
          </reference>
          <reference field="1" count="1" selected="0">
            <x v="0"/>
          </reference>
        </references>
      </pivotArea>
    </chartFormat>
    <chartFormat chart="3" format="12">
      <pivotArea type="data" outline="0" fieldPosition="0">
        <references count="3">
          <reference field="4294967294" count="1" selected="0">
            <x v="1"/>
          </reference>
          <reference field="0" count="1" selected="0">
            <x v="4"/>
          </reference>
          <reference field="1" count="1" selected="0">
            <x v="0"/>
          </reference>
        </references>
      </pivotArea>
    </chartFormat>
    <chartFormat chart="3" format="13">
      <pivotArea type="data" outline="0" fieldPosition="0">
        <references count="3">
          <reference field="4294967294" count="1" selected="0">
            <x v="0"/>
          </reference>
          <reference field="0" count="1" selected="0">
            <x v="1"/>
          </reference>
          <reference field="1" count="1" selected="0">
            <x v="0"/>
          </reference>
        </references>
      </pivotArea>
    </chartFormat>
    <chartFormat chart="3" format="14">
      <pivotArea type="data" outline="0" fieldPosition="0">
        <references count="3">
          <reference field="4294967294" count="1" selected="0">
            <x v="0"/>
          </reference>
          <reference field="0" count="1" selected="0">
            <x v="2"/>
          </reference>
          <reference field="1" count="1" selected="0">
            <x v="0"/>
          </reference>
        </references>
      </pivotArea>
    </chartFormat>
    <chartFormat chart="3" format="15">
      <pivotArea type="data" outline="0" fieldPosition="0">
        <references count="3">
          <reference field="4294967294" count="1" selected="0">
            <x v="0"/>
          </reference>
          <reference field="0" count="1" selected="0">
            <x v="3"/>
          </reference>
          <reference field="1" count="1" selected="0">
            <x v="0"/>
          </reference>
        </references>
      </pivotArea>
    </chartFormat>
    <chartFormat chart="3" format="16">
      <pivotArea type="data" outline="0" fieldPosition="0">
        <references count="3">
          <reference field="4294967294" count="1" selected="0">
            <x v="0"/>
          </reference>
          <reference field="0" count="1" selected="0">
            <x v="5"/>
          </reference>
          <reference field="1" count="1" selected="0">
            <x v="0"/>
          </reference>
        </references>
      </pivotArea>
    </chartFormat>
    <chartFormat chart="3" format="17">
      <pivotArea type="data" outline="0" fieldPosition="0">
        <references count="3">
          <reference field="4294967294" count="1" selected="0">
            <x v="0"/>
          </reference>
          <reference field="0" count="1" selected="0">
            <x v="7"/>
          </reference>
          <reference field="1" count="1" selected="0">
            <x v="1"/>
          </reference>
        </references>
      </pivotArea>
    </chartFormat>
    <chartFormat chart="3" format="18">
      <pivotArea type="data" outline="0" fieldPosition="0">
        <references count="3">
          <reference field="4294967294" count="1" selected="0">
            <x v="0"/>
          </reference>
          <reference field="0" count="1" selected="0">
            <x v="9"/>
          </reference>
          <reference field="1" count="1" selected="0">
            <x v="1"/>
          </reference>
        </references>
      </pivotArea>
    </chartFormat>
    <chartFormat chart="3" format="19">
      <pivotArea type="data" outline="0" fieldPosition="0">
        <references count="3">
          <reference field="4294967294" count="1" selected="0">
            <x v="1"/>
          </reference>
          <reference field="0" count="1" selected="0">
            <x v="1"/>
          </reference>
          <reference field="1" count="1" selected="0">
            <x v="0"/>
          </reference>
        </references>
      </pivotArea>
    </chartFormat>
    <chartFormat chart="3" format="20">
      <pivotArea type="data" outline="0" fieldPosition="0">
        <references count="3">
          <reference field="4294967294" count="1" selected="0">
            <x v="1"/>
          </reference>
          <reference field="0" count="1" selected="0">
            <x v="2"/>
          </reference>
          <reference field="1" count="1" selected="0">
            <x v="0"/>
          </reference>
        </references>
      </pivotArea>
    </chartFormat>
    <chartFormat chart="3" format="21">
      <pivotArea type="data" outline="0" fieldPosition="0">
        <references count="3">
          <reference field="4294967294" count="1" selected="0">
            <x v="1"/>
          </reference>
          <reference field="0" count="1" selected="0">
            <x v="3"/>
          </reference>
          <reference field="1" count="1" selected="0">
            <x v="0"/>
          </reference>
        </references>
      </pivotArea>
    </chartFormat>
    <chartFormat chart="3" format="22">
      <pivotArea type="data" outline="0" fieldPosition="0">
        <references count="3">
          <reference field="4294967294" count="1" selected="0">
            <x v="1"/>
          </reference>
          <reference field="0" count="1" selected="0">
            <x v="5"/>
          </reference>
          <reference field="1" count="1" selected="0">
            <x v="0"/>
          </reference>
        </references>
      </pivotArea>
    </chartFormat>
    <chartFormat chart="3" format="23">
      <pivotArea type="data" outline="0" fieldPosition="0">
        <references count="3">
          <reference field="4294967294" count="1" selected="0">
            <x v="1"/>
          </reference>
          <reference field="0" count="1" selected="0">
            <x v="7"/>
          </reference>
          <reference field="1" count="1" selected="0">
            <x v="1"/>
          </reference>
        </references>
      </pivotArea>
    </chartFormat>
    <chartFormat chart="3" format="24">
      <pivotArea type="data" outline="0" fieldPosition="0">
        <references count="3">
          <reference field="4294967294" count="1" selected="0">
            <x v="1"/>
          </reference>
          <reference field="0" count="1" selected="0">
            <x v="9"/>
          </reference>
          <reference field="1" count="1" selected="0">
            <x v="1"/>
          </reference>
        </references>
      </pivotArea>
    </chartFormat>
    <chartFormat chart="3" format="25">
      <pivotArea type="data" outline="0" fieldPosition="0">
        <references count="3">
          <reference field="4294967294" count="1" selected="0">
            <x v="1"/>
          </reference>
          <reference field="0" count="1" selected="0">
            <x v="11"/>
          </reference>
          <reference field="1" count="1" selected="0">
            <x v="1"/>
          </reference>
        </references>
      </pivotArea>
    </chartFormat>
    <chartFormat chart="3" format="26">
      <pivotArea type="data" outline="0" fieldPosition="0">
        <references count="3">
          <reference field="4294967294" count="1" selected="0">
            <x v="0"/>
          </reference>
          <reference field="0" count="1" selected="0">
            <x v="0"/>
          </reference>
          <reference field="1" count="1" selected="0">
            <x v="0"/>
          </reference>
        </references>
      </pivotArea>
    </chartFormat>
  </chartFormats>
  <pivotHierarchies count="22">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gaMar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A9ED974-5625-4ED4-905D-5DD17541E636}" sourceName="[MegaMart].[Product Category]">
  <pivotTables>
    <pivotTable tabId="2" name="PivotTable2"/>
    <pivotTable tabId="2" name="PivotTable37"/>
    <pivotTable tabId="2" name="PivotTable1"/>
    <pivotTable tabId="2" name="PivotTable12"/>
    <pivotTable tabId="2" name="PivotTable3"/>
    <pivotTable tabId="2" name="PivotTable31"/>
    <pivotTable tabId="2" name="PivotTable36"/>
    <pivotTable tabId="2" name="PivotTable4"/>
    <pivotTable tabId="2" name="PivotTable5"/>
    <pivotTable tabId="2" name="PivotTable7"/>
    <pivotTable tabId="2" name="PivotTable8"/>
  </pivotTables>
  <data>
    <olap pivotCacheId="2062674601">
      <levels count="2">
        <level uniqueName="[MegaMart].[Product Category].[(All)]" sourceCaption="(All)" count="0"/>
        <level uniqueName="[MegaMart].[Product Category].[Product Category]" sourceCaption="Product Category" count="7">
          <ranges>
            <range startItem="0">
              <i n="[MegaMart].[Product Category].&amp;[AC]" c="AC"/>
              <i n="[MegaMart].[Product Category].&amp;[Laptop]" c="Laptop"/>
              <i n="[MegaMart].[Product Category].&amp;[Microwave]" c="Microwave"/>
              <i n="[MegaMart].[Product Category].&amp;[Mobile]" c="Mobile"/>
              <i n="[MegaMart].[Product Category].&amp;[Refrigerator]" c="Refrigerator"/>
              <i n="[MegaMart].[Product Category].&amp;[TV]" c="TV"/>
              <i n="[MegaMart].[Product Category].&amp;[Washing Machine]" c="Washing Machine"/>
            </range>
          </ranges>
        </level>
      </levels>
      <selections count="1">
        <selection n="[MegaMart].[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D93D94F-6963-4897-8796-C56C8F0395E2}" sourceName="[MegaMart].[Region]">
  <pivotTables>
    <pivotTable tabId="2" name="PivotTable2"/>
    <pivotTable tabId="2" name="PivotTable37"/>
    <pivotTable tabId="2" name="PivotTable1"/>
    <pivotTable tabId="2" name="PivotTable12"/>
    <pivotTable tabId="2" name="PivotTable3"/>
    <pivotTable tabId="2" name="PivotTable31"/>
    <pivotTable tabId="2" name="PivotTable36"/>
    <pivotTable tabId="2" name="PivotTable4"/>
    <pivotTable tabId="2" name="PivotTable5"/>
    <pivotTable tabId="2" name="PivotTable7"/>
    <pivotTable tabId="2" name="PivotTable8"/>
  </pivotTables>
  <data>
    <olap pivotCacheId="2062674601">
      <levels count="2">
        <level uniqueName="[MegaMart].[Region].[(All)]" sourceCaption="(All)" count="0"/>
        <level uniqueName="[MegaMart].[Region].[Region]" sourceCaption="Region" count="5">
          <ranges>
            <range startItem="0">
              <i n="[MegaMart].[Region].&amp;[Central]" c="Central"/>
              <i n="[MegaMart].[Region].&amp;[East]" c="East"/>
              <i n="[MegaMart].[Region].&amp;[North]" c="North"/>
              <i n="[MegaMart].[Region].&amp;[South]" c="South"/>
              <i n="[MegaMart].[Region].&amp;[West]" c="West"/>
            </range>
          </ranges>
        </level>
      </levels>
      <selections count="1">
        <selection n="[MegaMart].[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FE6EB58D-8967-4F77-94E7-967E3EFDED8E}" sourceName="[MegaMart].[Order Date (Month)]">
  <pivotTables>
    <pivotTable tabId="2" name="PivotTable2"/>
    <pivotTable tabId="2" name="PivotTable37"/>
    <pivotTable tabId="2" name="PivotTable1"/>
    <pivotTable tabId="2" name="PivotTable12"/>
    <pivotTable tabId="2" name="PivotTable3"/>
    <pivotTable tabId="2" name="PivotTable31"/>
    <pivotTable tabId="2" name="PivotTable36"/>
    <pivotTable tabId="2" name="PivotTable4"/>
    <pivotTable tabId="2" name="PivotTable5"/>
    <pivotTable tabId="2" name="PivotTable7"/>
    <pivotTable tabId="2" name="PivotTable8"/>
  </pivotTables>
  <data>
    <olap pivotCacheId="2062674601">
      <levels count="2">
        <level uniqueName="[MegaMart].[Order Date (Month)].[(All)]" sourceCaption="(All)" count="0"/>
        <level uniqueName="[MegaMart].[Order Date (Month)].[Order Date (Month)]" sourceCaption="Order Date (Month)" count="12">
          <ranges>
            <range startItem="0">
              <i n="[MegaMart].[Order Date (Month)].&amp;[Jan]" c="Jan"/>
              <i n="[MegaMart].[Order Date (Month)].&amp;[Feb]" c="Feb"/>
              <i n="[MegaMart].[Order Date (Month)].&amp;[Mar]" c="Mar"/>
              <i n="[MegaMart].[Order Date (Month)].&amp;[Apr]" c="Apr"/>
              <i n="[MegaMart].[Order Date (Month)].&amp;[May]" c="May"/>
              <i n="[MegaMart].[Order Date (Month)].&amp;[Jun]" c="Jun"/>
              <i n="[MegaMart].[Order Date (Month)].&amp;[Jul]" c="Jul"/>
              <i n="[MegaMart].[Order Date (Month)].&amp;[Aug]" c="Aug"/>
              <i n="[MegaMart].[Order Date (Month)].&amp;[Sep]" c="Sep"/>
              <i n="[MegaMart].[Order Date (Month)].&amp;[Oct]" c="Oct"/>
              <i n="[MegaMart].[Order Date (Month)].&amp;[Nov]" c="Nov"/>
              <i n="[MegaMart].[Order Date (Month)].&amp;[Dec]" c="Dec"/>
            </range>
          </ranges>
        </level>
      </levels>
      <selections count="1">
        <selection n="[MegaMart].[Order Date (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3D732EB4-33EF-4CEA-BA5E-92EDA1A8C3BE}" sourceName="[MegaMart].[Order Date (Year)]">
  <pivotTables>
    <pivotTable tabId="2" name="PivotTable2"/>
    <pivotTable tabId="2" name="PivotTable37"/>
    <pivotTable tabId="2" name="PivotTable1"/>
    <pivotTable tabId="2" name="PivotTable12"/>
    <pivotTable tabId="2" name="PivotTable3"/>
    <pivotTable tabId="2" name="PivotTable31"/>
    <pivotTable tabId="2" name="PivotTable36"/>
    <pivotTable tabId="2" name="PivotTable4"/>
    <pivotTable tabId="2" name="PivotTable5"/>
    <pivotTable tabId="2" name="PivotTable7"/>
    <pivotTable tabId="2" name="PivotTable8"/>
  </pivotTables>
  <data>
    <olap pivotCacheId="2062674601">
      <levels count="2">
        <level uniqueName="[MegaMart].[Order Date (Year)].[(All)]" sourceCaption="(All)" count="0"/>
        <level uniqueName="[MegaMart].[Order Date (Year)].[Order Date (Year)]" sourceCaption="Order Date (Year)" count="2">
          <ranges>
            <range startItem="0">
              <i n="[MegaMart].[Order Date (Year)].&amp;[2024]" c="2024"/>
              <i n="[MegaMart].[Order Date (Year)].&amp;[2025]" c="2025"/>
            </range>
          </ranges>
        </level>
      </levels>
      <selections count="1">
        <selection n="[MegaMart].[Order Date (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57131D8D-E186-4416-BE37-B8462D9BD0C3}" cache="Slicer_Product_Category" caption="Product Cat" level="1" style="SlicerStyleLight1 2" rowHeight="241300"/>
  <slicer name="Region 1" xr10:uid="{B4BE2686-AABA-4E79-8F6B-06528DEA2BA6}" cache="Slicer_Region" caption="Region" columnCount="5" showCaption="0" level="1" style="SlicerStyleLight1 2" rowHeight="241300"/>
  <slicer name="Order Date (Month) 1" xr10:uid="{5C4B8239-6E7C-4B6C-9F63-823D9B31351B}" cache="Slicer_Order_Date__Month" caption="Order Month" level="1" style="SlicerStyleLight1 2" rowHeight="241300"/>
  <slicer name="Order Date (Year) 1" xr10:uid="{37F92D63-E4DF-48AC-B4BE-5E22BF0ECD92}" cache="Slicer_Order_Date__Year" caption="Order Date (Year)" columnCount="2" showCaption="0"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89BEBD97-3583-4A00-B771-33CC759A95C0}" cache="Slicer_Product_Category" caption="Product Category" level="1" rowHeight="241300"/>
  <slicer name="Region" xr10:uid="{A7F134A4-5305-4FDC-A41E-EF1CF70434FE}" cache="Slicer_Region" caption="Region" level="1" rowHeight="241300"/>
  <slicer name="Order Date (Month)" xr10:uid="{13354AB6-9944-43B9-BBBB-26C81D033F34}" cache="Slicer_Order_Date__Month" caption="Order Date (Month)" startItem="4" level="1" rowHeight="241300"/>
  <slicer name="Order Date (Year)" xr10:uid="{217DC8EE-585A-40EC-BEE7-2E315A15A04A}" cache="Slicer_Order_Date__Year" caption="Order Date (Year)" level="1" rowHeight="241300"/>
</slicers>
</file>

<file path=xl/theme/theme1.xml><?xml version="1.0" encoding="utf-8"?>
<a:theme xmlns:a="http://schemas.openxmlformats.org/drawingml/2006/main" name="Retrospect">
  <a:themeElements>
    <a:clrScheme name="Custom 9">
      <a:dk1>
        <a:srgbClr val="000000"/>
      </a:dk1>
      <a:lt1>
        <a:sysClr val="window" lastClr="FFFFFF"/>
      </a:lt1>
      <a:dk2>
        <a:srgbClr val="637052"/>
      </a:dk2>
      <a:lt2>
        <a:srgbClr val="CCDDEA"/>
      </a:lt2>
      <a:accent1>
        <a:srgbClr val="549E39"/>
      </a:accent1>
      <a:accent2>
        <a:srgbClr val="B01513"/>
      </a:accent2>
      <a:accent3>
        <a:srgbClr val="865640"/>
      </a:accent3>
      <a:accent4>
        <a:srgbClr val="9B8357"/>
      </a:accent4>
      <a:accent5>
        <a:srgbClr val="C2BC80"/>
      </a:accent5>
      <a:accent6>
        <a:srgbClr val="94A088"/>
      </a:accent6>
      <a:hlink>
        <a:srgbClr val="2998E3"/>
      </a:hlink>
      <a:folHlink>
        <a:srgbClr val="8C8C8C"/>
      </a:folHlink>
    </a:clrScheme>
    <a:fontScheme name="Retrospect">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06E58-5804-442F-9EB8-0EC52D5FA1F1}">
  <dimension ref="A1"/>
  <sheetViews>
    <sheetView showGridLines="0" showRowColHeaders="0" tabSelected="1" zoomScale="85" zoomScaleNormal="85" workbookViewId="0">
      <selection activeCell="Y17" sqref="Y17"/>
    </sheetView>
  </sheetViews>
  <sheetFormatPr defaultRowHeight="15" x14ac:dyDescent="0.25"/>
  <sheetData/>
  <pageMargins left="0.7" right="0.7" top="0.75" bottom="0.75" header="0.3" footer="0.3"/>
  <pageSetup paperSize="3" scale="9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A7E1B-4D5D-41D8-BE5E-F27CF8B0F4E0}">
  <dimension ref="B3:P113"/>
  <sheetViews>
    <sheetView zoomScale="70" zoomScaleNormal="70" workbookViewId="0">
      <selection activeCell="D17" sqref="D17"/>
    </sheetView>
  </sheetViews>
  <sheetFormatPr defaultRowHeight="15" x14ac:dyDescent="0.25"/>
  <cols>
    <col min="2" max="2" width="17.85546875" bestFit="1" customWidth="1"/>
    <col min="3" max="3" width="23.140625" customWidth="1"/>
    <col min="4" max="4" width="16.42578125" bestFit="1" customWidth="1"/>
    <col min="5" max="5" width="15.28515625" customWidth="1"/>
    <col min="6" max="6" width="11.5703125" customWidth="1"/>
    <col min="7" max="7" width="10.5703125" customWidth="1"/>
    <col min="8" max="8" width="17.85546875" customWidth="1"/>
    <col min="9" max="9" width="23.140625" customWidth="1"/>
    <col min="10" max="10" width="16.42578125" customWidth="1"/>
    <col min="11" max="11" width="9.7109375" customWidth="1"/>
    <col min="12" max="12" width="17.85546875" customWidth="1"/>
    <col min="13" max="13" width="23.140625" customWidth="1"/>
    <col min="14" max="14" width="16.42578125" customWidth="1"/>
    <col min="15" max="15" width="9.7109375" customWidth="1"/>
    <col min="16" max="16" width="16.42578125" customWidth="1"/>
    <col min="17" max="17" width="9.7109375" customWidth="1"/>
    <col min="18" max="18" width="9" bestFit="1" customWidth="1"/>
    <col min="19" max="19" width="8.7109375" bestFit="1" customWidth="1"/>
    <col min="20" max="24" width="9" bestFit="1" customWidth="1"/>
    <col min="25" max="45" width="9.7109375" bestFit="1" customWidth="1"/>
    <col min="46" max="47" width="8.7109375" bestFit="1" customWidth="1"/>
    <col min="48" max="48" width="9" bestFit="1" customWidth="1"/>
    <col min="49" max="50" width="8.7109375" bestFit="1" customWidth="1"/>
    <col min="51" max="52" width="9" bestFit="1" customWidth="1"/>
    <col min="53" max="53" width="8.7109375" bestFit="1" customWidth="1"/>
    <col min="54" max="72" width="9.7109375" bestFit="1" customWidth="1"/>
    <col min="73" max="73" width="9" bestFit="1" customWidth="1"/>
    <col min="74" max="74" width="8.7109375" bestFit="1" customWidth="1"/>
    <col min="75" max="79" width="9" bestFit="1" customWidth="1"/>
    <col min="80" max="80" width="8.7109375" bestFit="1" customWidth="1"/>
    <col min="81" max="81" width="9" bestFit="1" customWidth="1"/>
    <col min="82" max="110" width="9.7109375" bestFit="1" customWidth="1"/>
    <col min="111" max="132" width="10.7109375" bestFit="1" customWidth="1"/>
    <col min="133" max="139" width="9.7109375" bestFit="1" customWidth="1"/>
    <col min="140" max="159" width="10.7109375" bestFit="1" customWidth="1"/>
    <col min="160" max="168" width="9.7109375" bestFit="1" customWidth="1"/>
    <col min="169" max="189" width="10.7109375" bestFit="1" customWidth="1"/>
    <col min="190" max="192" width="8.7109375" bestFit="1" customWidth="1"/>
    <col min="193" max="193" width="9" bestFit="1" customWidth="1"/>
    <col min="194" max="194" width="8.7109375" bestFit="1" customWidth="1"/>
    <col min="195" max="195" width="9" bestFit="1" customWidth="1"/>
    <col min="196" max="196" width="8.7109375" bestFit="1" customWidth="1"/>
    <col min="197" max="197" width="9" bestFit="1" customWidth="1"/>
    <col min="198" max="218" width="9.7109375" bestFit="1" customWidth="1"/>
    <col min="219" max="219" width="8.7109375" bestFit="1" customWidth="1"/>
    <col min="220" max="222" width="9" bestFit="1" customWidth="1"/>
    <col min="223" max="225" width="8.7109375" bestFit="1" customWidth="1"/>
    <col min="226" max="226" width="9" bestFit="1" customWidth="1"/>
    <col min="227" max="243" width="9.7109375" bestFit="1" customWidth="1"/>
    <col min="244" max="244" width="8.7109375" bestFit="1" customWidth="1"/>
    <col min="245" max="246" width="9" bestFit="1" customWidth="1"/>
    <col min="247" max="247" width="8.7109375" bestFit="1" customWidth="1"/>
    <col min="248" max="249" width="9" bestFit="1" customWidth="1"/>
    <col min="250" max="250" width="8.7109375" bestFit="1" customWidth="1"/>
    <col min="251" max="252" width="9" bestFit="1" customWidth="1"/>
    <col min="253" max="273" width="9.7109375" bestFit="1" customWidth="1"/>
    <col min="274" max="275" width="9" bestFit="1" customWidth="1"/>
    <col min="276" max="276" width="8.7109375" bestFit="1" customWidth="1"/>
    <col min="277" max="278" width="9" bestFit="1" customWidth="1"/>
    <col min="279" max="279" width="8.7109375" bestFit="1" customWidth="1"/>
    <col min="280" max="280" width="9" bestFit="1" customWidth="1"/>
    <col min="281" max="281" width="8.7109375" bestFit="1" customWidth="1"/>
    <col min="282" max="301" width="9.7109375" bestFit="1" customWidth="1"/>
    <col min="302" max="302" width="9" bestFit="1" customWidth="1"/>
    <col min="303" max="304" width="8.7109375" bestFit="1" customWidth="1"/>
    <col min="305" max="305" width="9" bestFit="1" customWidth="1"/>
    <col min="306" max="307" width="8.7109375" bestFit="1" customWidth="1"/>
    <col min="308" max="310" width="9" bestFit="1" customWidth="1"/>
    <col min="311" max="330" width="9.7109375" bestFit="1" customWidth="1"/>
    <col min="331" max="331" width="9" bestFit="1" customWidth="1"/>
    <col min="332" max="332" width="8.7109375" bestFit="1" customWidth="1"/>
    <col min="333" max="333" width="9" bestFit="1" customWidth="1"/>
    <col min="334" max="335" width="8.7109375" bestFit="1" customWidth="1"/>
    <col min="336" max="337" width="9" bestFit="1" customWidth="1"/>
    <col min="338" max="338" width="8.7109375" bestFit="1" customWidth="1"/>
    <col min="339" max="339" width="9" bestFit="1" customWidth="1"/>
    <col min="340" max="351" width="9.7109375" bestFit="1" customWidth="1"/>
    <col min="352" max="352" width="11.5703125" bestFit="1" customWidth="1"/>
  </cols>
  <sheetData>
    <row r="3" spans="2:16" x14ac:dyDescent="0.25">
      <c r="P3" t="s">
        <v>26</v>
      </c>
    </row>
    <row r="4" spans="2:16" x14ac:dyDescent="0.25">
      <c r="C4" s="4">
        <f>GETPIVOTDATA("[Measures].[Sum of Total Sales]",$B$5)</f>
        <v>237217760.84999999</v>
      </c>
      <c r="P4" s="1">
        <v>58000347.68</v>
      </c>
    </row>
    <row r="5" spans="2:16" x14ac:dyDescent="0.25">
      <c r="B5" t="s">
        <v>24</v>
      </c>
      <c r="H5" s="5" t="s">
        <v>34</v>
      </c>
      <c r="I5" t="s">
        <v>24</v>
      </c>
      <c r="J5" t="s">
        <v>26</v>
      </c>
      <c r="L5" s="5" t="s">
        <v>34</v>
      </c>
      <c r="M5" t="s">
        <v>24</v>
      </c>
      <c r="N5" t="s">
        <v>26</v>
      </c>
    </row>
    <row r="6" spans="2:16" x14ac:dyDescent="0.25">
      <c r="B6" s="1">
        <v>237217760.84999999</v>
      </c>
      <c r="H6" s="6" t="s">
        <v>37</v>
      </c>
      <c r="I6" s="1"/>
      <c r="J6" s="1"/>
      <c r="L6" s="6" t="s">
        <v>5</v>
      </c>
      <c r="M6" s="10">
        <v>46525962.310000002</v>
      </c>
      <c r="N6" s="10">
        <v>10933176.380000001</v>
      </c>
    </row>
    <row r="7" spans="2:16" x14ac:dyDescent="0.25">
      <c r="H7" s="7" t="s">
        <v>28</v>
      </c>
      <c r="I7" s="8">
        <v>5473945.3200000003</v>
      </c>
      <c r="J7" s="8">
        <v>1210423.72</v>
      </c>
      <c r="L7" s="6" t="s">
        <v>7</v>
      </c>
      <c r="M7" s="10">
        <v>42130580.890000001</v>
      </c>
      <c r="N7" s="10">
        <v>10668906.23</v>
      </c>
    </row>
    <row r="8" spans="2:16" x14ac:dyDescent="0.25">
      <c r="H8" s="7" t="s">
        <v>38</v>
      </c>
      <c r="I8" s="8">
        <v>19396859.32</v>
      </c>
      <c r="J8" s="8">
        <v>5178507.3099999996</v>
      </c>
      <c r="L8" s="6" t="s">
        <v>8</v>
      </c>
      <c r="M8" s="10">
        <v>55219337.75</v>
      </c>
      <c r="N8" s="10">
        <v>13435666.73</v>
      </c>
    </row>
    <row r="9" spans="2:16" x14ac:dyDescent="0.25">
      <c r="H9" s="7" t="s">
        <v>39</v>
      </c>
      <c r="I9" s="8">
        <v>17956109.960000001</v>
      </c>
      <c r="J9" s="8">
        <v>4840060.75</v>
      </c>
      <c r="L9" s="6" t="s">
        <v>9</v>
      </c>
      <c r="M9" s="10">
        <v>44977493.409999996</v>
      </c>
      <c r="N9" s="10">
        <v>10945642.380000001</v>
      </c>
    </row>
    <row r="10" spans="2:16" x14ac:dyDescent="0.25">
      <c r="H10" s="7" t="s">
        <v>40</v>
      </c>
      <c r="I10" s="8">
        <v>19885236.52</v>
      </c>
      <c r="J10" s="8">
        <v>4777429.97</v>
      </c>
      <c r="L10" s="6" t="s">
        <v>6</v>
      </c>
      <c r="M10" s="10">
        <v>48364386.490000002</v>
      </c>
      <c r="N10" s="10">
        <v>12016955.960000001</v>
      </c>
    </row>
    <row r="11" spans="2:16" x14ac:dyDescent="0.25">
      <c r="H11" s="7" t="s">
        <v>41</v>
      </c>
      <c r="I11" s="8">
        <v>23336780.510000002</v>
      </c>
      <c r="J11" s="8">
        <v>6275146.1399999997</v>
      </c>
    </row>
    <row r="12" spans="2:16" x14ac:dyDescent="0.25">
      <c r="H12" s="7" t="s">
        <v>42</v>
      </c>
      <c r="I12" s="8">
        <v>20134764.210000001</v>
      </c>
      <c r="J12" s="8">
        <v>4600474.0599999996</v>
      </c>
    </row>
    <row r="13" spans="2:16" x14ac:dyDescent="0.25">
      <c r="H13" s="7" t="s">
        <v>43</v>
      </c>
      <c r="I13" s="8">
        <v>23937518.379999999</v>
      </c>
      <c r="J13" s="8">
        <v>6314530.4800000004</v>
      </c>
    </row>
    <row r="14" spans="2:16" x14ac:dyDescent="0.25">
      <c r="H14" s="6" t="s">
        <v>27</v>
      </c>
      <c r="I14" s="8"/>
      <c r="J14" s="8"/>
    </row>
    <row r="15" spans="2:16" x14ac:dyDescent="0.25">
      <c r="H15" s="7" t="s">
        <v>29</v>
      </c>
      <c r="I15" s="8">
        <v>19108908.66</v>
      </c>
      <c r="J15" s="8">
        <v>4342686.25</v>
      </c>
    </row>
    <row r="16" spans="2:16" x14ac:dyDescent="0.25">
      <c r="B16" t="s">
        <v>25</v>
      </c>
      <c r="H16" s="7" t="s">
        <v>30</v>
      </c>
      <c r="I16" s="8">
        <v>15251763.279999999</v>
      </c>
      <c r="J16" s="8">
        <v>3422757.62</v>
      </c>
    </row>
    <row r="17" spans="2:10" x14ac:dyDescent="0.25">
      <c r="B17" s="1">
        <v>2993</v>
      </c>
      <c r="D17" s="12">
        <f>B25/C4*1</f>
        <v>0.24450255104075189</v>
      </c>
      <c r="H17" s="7" t="s">
        <v>31</v>
      </c>
      <c r="I17" s="8">
        <v>16900547.670000002</v>
      </c>
      <c r="J17" s="8">
        <v>3868526.51</v>
      </c>
    </row>
    <row r="18" spans="2:10" x14ac:dyDescent="0.25">
      <c r="H18" s="7" t="s">
        <v>32</v>
      </c>
      <c r="I18" s="8">
        <v>23531427.170000002</v>
      </c>
      <c r="J18" s="8">
        <v>5502613.5099999998</v>
      </c>
    </row>
    <row r="19" spans="2:10" x14ac:dyDescent="0.25">
      <c r="B19" s="3">
        <f>GETPIVOTDATA("[Measures].[Sum of Quantity]",$B$16)</f>
        <v>2993</v>
      </c>
      <c r="H19" s="7" t="s">
        <v>33</v>
      </c>
      <c r="I19" s="8">
        <v>18966022.620000001</v>
      </c>
      <c r="J19" s="8">
        <v>4719598.41</v>
      </c>
    </row>
    <row r="20" spans="2:10" x14ac:dyDescent="0.25">
      <c r="H20" s="7" t="s">
        <v>28</v>
      </c>
      <c r="I20" s="8">
        <v>13337877.23</v>
      </c>
      <c r="J20" s="8">
        <v>2947592.95</v>
      </c>
    </row>
    <row r="21" spans="2:10" x14ac:dyDescent="0.25">
      <c r="B21" t="s">
        <v>26</v>
      </c>
    </row>
    <row r="22" spans="2:10" x14ac:dyDescent="0.25">
      <c r="B22" s="1">
        <v>58000347.68</v>
      </c>
    </row>
    <row r="25" spans="2:10" x14ac:dyDescent="0.25">
      <c r="B25" s="2">
        <f>GETPIVOTDATA("[Measures].[Sum of Profit]",$B$21)</f>
        <v>58000347.68</v>
      </c>
    </row>
    <row r="32" spans="2:10" x14ac:dyDescent="0.25">
      <c r="B32" s="9">
        <f>GETPIVOTDATA("[Measures].[Sum of Cost]",$D$33)</f>
        <v>179217413.16999999</v>
      </c>
    </row>
    <row r="33" spans="2:7" x14ac:dyDescent="0.25">
      <c r="D33" t="s">
        <v>35</v>
      </c>
    </row>
    <row r="34" spans="2:7" x14ac:dyDescent="0.25">
      <c r="D34" s="1">
        <v>179217413.16999999</v>
      </c>
    </row>
    <row r="38" spans="2:7" x14ac:dyDescent="0.25">
      <c r="B38" s="5" t="s">
        <v>34</v>
      </c>
      <c r="C38" t="s">
        <v>24</v>
      </c>
      <c r="E38" t="str">
        <f>B38</f>
        <v>Row Labels</v>
      </c>
      <c r="F38" t="str">
        <f>C38</f>
        <v>Sum of Total Sales</v>
      </c>
    </row>
    <row r="39" spans="2:7" x14ac:dyDescent="0.25">
      <c r="B39" s="6" t="s">
        <v>18</v>
      </c>
      <c r="C39" s="1">
        <v>18022648.550000001</v>
      </c>
      <c r="E39" s="8" t="str">
        <f>B39</f>
        <v>LG OLED 65"</v>
      </c>
      <c r="F39" s="8">
        <f>C39</f>
        <v>18022648.550000001</v>
      </c>
      <c r="G39" s="8"/>
    </row>
    <row r="40" spans="2:7" x14ac:dyDescent="0.25">
      <c r="B40" s="6" t="s">
        <v>23</v>
      </c>
      <c r="C40" s="1">
        <v>18379637.93</v>
      </c>
      <c r="E40" s="8" t="str">
        <f t="shared" ref="E40:E43" si="0">B40</f>
        <v>Sony Bravia 50"</v>
      </c>
      <c r="F40" s="8">
        <f t="shared" ref="F40:F43" si="1">C40</f>
        <v>18379637.93</v>
      </c>
      <c r="G40" s="8"/>
    </row>
    <row r="41" spans="2:7" x14ac:dyDescent="0.25">
      <c r="B41" s="6" t="s">
        <v>49</v>
      </c>
      <c r="C41" s="1">
        <v>18821776.41</v>
      </c>
      <c r="E41" s="8" t="str">
        <f t="shared" si="0"/>
        <v>HP Pavilion</v>
      </c>
      <c r="F41" s="8">
        <f t="shared" si="1"/>
        <v>18821776.41</v>
      </c>
      <c r="G41" s="8"/>
    </row>
    <row r="42" spans="2:7" x14ac:dyDescent="0.25">
      <c r="B42" s="6" t="s">
        <v>50</v>
      </c>
      <c r="C42" s="1">
        <v>18885926.23</v>
      </c>
      <c r="E42" s="8" t="str">
        <f t="shared" si="0"/>
        <v>Haier Inverter</v>
      </c>
      <c r="F42" s="8">
        <f t="shared" si="1"/>
        <v>18885926.23</v>
      </c>
      <c r="G42" s="8"/>
    </row>
    <row r="43" spans="2:7" x14ac:dyDescent="0.25">
      <c r="B43" s="6" t="s">
        <v>21</v>
      </c>
      <c r="C43" s="1">
        <v>19521192.02</v>
      </c>
      <c r="E43" s="8" t="str">
        <f t="shared" si="0"/>
        <v>Dell XPS 13</v>
      </c>
      <c r="F43" s="8">
        <f t="shared" si="1"/>
        <v>19521192.02</v>
      </c>
      <c r="G43" s="8"/>
    </row>
    <row r="44" spans="2:7" x14ac:dyDescent="0.25">
      <c r="D44" s="6"/>
      <c r="E44" s="8"/>
    </row>
    <row r="45" spans="2:7" x14ac:dyDescent="0.25">
      <c r="D45" s="6"/>
      <c r="E45" s="8"/>
    </row>
    <row r="46" spans="2:7" x14ac:dyDescent="0.25">
      <c r="D46" s="6"/>
      <c r="E46" s="8"/>
    </row>
    <row r="47" spans="2:7" x14ac:dyDescent="0.25">
      <c r="D47" s="6"/>
      <c r="E47" s="8"/>
    </row>
    <row r="48" spans="2:7" x14ac:dyDescent="0.25">
      <c r="D48" s="6"/>
      <c r="E48" s="8"/>
    </row>
    <row r="61" spans="2:5" x14ac:dyDescent="0.25">
      <c r="B61" s="5" t="s">
        <v>34</v>
      </c>
      <c r="C61" t="s">
        <v>24</v>
      </c>
    </row>
    <row r="62" spans="2:5" x14ac:dyDescent="0.25">
      <c r="B62" s="6" t="s">
        <v>17</v>
      </c>
      <c r="C62" s="1">
        <v>3073948.12</v>
      </c>
      <c r="D62" t="str">
        <f>B62</f>
        <v>LG Front Load</v>
      </c>
      <c r="E62" s="8">
        <f>C62</f>
        <v>3073948.12</v>
      </c>
    </row>
    <row r="63" spans="2:5" x14ac:dyDescent="0.25">
      <c r="B63" s="6" t="s">
        <v>22</v>
      </c>
      <c r="C63" s="1">
        <v>3448063.78</v>
      </c>
      <c r="D63" t="str">
        <f>B63</f>
        <v>Dawlance 91996</v>
      </c>
      <c r="E63" s="8">
        <f t="shared" ref="E63:E66" si="2">C63</f>
        <v>3448063.78</v>
      </c>
    </row>
    <row r="64" spans="2:5" x14ac:dyDescent="0.25">
      <c r="B64" s="6" t="s">
        <v>19</v>
      </c>
      <c r="C64" s="1">
        <v>3596791.84</v>
      </c>
      <c r="D64" t="str">
        <f t="shared" ref="D64:D66" si="3">B64</f>
        <v>PEL Arctic</v>
      </c>
      <c r="E64" s="8">
        <f t="shared" si="2"/>
        <v>3596791.84</v>
      </c>
    </row>
    <row r="65" spans="2:5" x14ac:dyDescent="0.25">
      <c r="B65" s="6" t="s">
        <v>36</v>
      </c>
      <c r="C65" s="1">
        <v>3600258.11</v>
      </c>
      <c r="D65" t="str">
        <f t="shared" si="3"/>
        <v>Dawlance 30L</v>
      </c>
      <c r="E65" s="8">
        <f t="shared" si="2"/>
        <v>3600258.11</v>
      </c>
    </row>
    <row r="66" spans="2:5" x14ac:dyDescent="0.25">
      <c r="B66" s="6" t="s">
        <v>20</v>
      </c>
      <c r="C66" s="1">
        <v>3839558.12</v>
      </c>
      <c r="D66" t="str">
        <f t="shared" si="3"/>
        <v>Panasonic Grill</v>
      </c>
      <c r="E66" s="8">
        <f t="shared" si="2"/>
        <v>3839558.12</v>
      </c>
    </row>
    <row r="67" spans="2:5" x14ac:dyDescent="0.25">
      <c r="E67" s="1"/>
    </row>
    <row r="68" spans="2:5" x14ac:dyDescent="0.25">
      <c r="E68" s="1"/>
    </row>
    <row r="69" spans="2:5" x14ac:dyDescent="0.25">
      <c r="E69" s="1"/>
    </row>
    <row r="70" spans="2:5" x14ac:dyDescent="0.25">
      <c r="E70" s="1"/>
    </row>
    <row r="71" spans="2:5" x14ac:dyDescent="0.25">
      <c r="E71" s="1"/>
    </row>
    <row r="83" spans="2:5" x14ac:dyDescent="0.25">
      <c r="B83" s="5" t="s">
        <v>34</v>
      </c>
      <c r="C83" t="s">
        <v>24</v>
      </c>
    </row>
    <row r="84" spans="2:5" x14ac:dyDescent="0.25">
      <c r="B84" s="6" t="s">
        <v>15</v>
      </c>
      <c r="C84" s="1">
        <v>52758762.670000002</v>
      </c>
      <c r="D84" t="str">
        <f>B84</f>
        <v>TV</v>
      </c>
      <c r="E84" s="8">
        <f>C84</f>
        <v>52758762.670000002</v>
      </c>
    </row>
    <row r="85" spans="2:5" x14ac:dyDescent="0.25">
      <c r="B85" s="6" t="s">
        <v>12</v>
      </c>
      <c r="C85" s="1">
        <v>52590153.07</v>
      </c>
      <c r="D85" t="str">
        <f t="shared" ref="D85:D90" si="4">B85</f>
        <v>Laptop</v>
      </c>
      <c r="E85" s="8">
        <f t="shared" ref="E85:E90" si="5">C85</f>
        <v>52590153.07</v>
      </c>
    </row>
    <row r="86" spans="2:5" x14ac:dyDescent="0.25">
      <c r="B86" s="6" t="s">
        <v>11</v>
      </c>
      <c r="C86" s="1">
        <v>50645984.079999998</v>
      </c>
      <c r="D86" t="str">
        <f t="shared" si="4"/>
        <v>AC</v>
      </c>
      <c r="E86" s="8">
        <f t="shared" si="5"/>
        <v>50645984.079999998</v>
      </c>
    </row>
    <row r="87" spans="2:5" x14ac:dyDescent="0.25">
      <c r="B87" s="6" t="s">
        <v>16</v>
      </c>
      <c r="C87" s="1">
        <v>43417110.219999999</v>
      </c>
      <c r="D87" t="str">
        <f t="shared" si="4"/>
        <v>Mobile</v>
      </c>
      <c r="E87" s="8">
        <f t="shared" si="5"/>
        <v>43417110.219999999</v>
      </c>
    </row>
    <row r="88" spans="2:5" x14ac:dyDescent="0.25">
      <c r="B88" s="6" t="s">
        <v>10</v>
      </c>
      <c r="C88" s="1">
        <v>12997504.220000001</v>
      </c>
      <c r="D88" t="str">
        <f t="shared" si="4"/>
        <v>Washing Machine</v>
      </c>
      <c r="E88" s="8">
        <f t="shared" si="5"/>
        <v>12997504.220000001</v>
      </c>
    </row>
    <row r="89" spans="2:5" x14ac:dyDescent="0.25">
      <c r="B89" s="6" t="s">
        <v>14</v>
      </c>
      <c r="C89" s="1">
        <v>12896630.029999999</v>
      </c>
      <c r="D89" t="str">
        <f t="shared" si="4"/>
        <v>Microwave</v>
      </c>
      <c r="E89" s="8">
        <f t="shared" si="5"/>
        <v>12896630.029999999</v>
      </c>
    </row>
    <row r="90" spans="2:5" x14ac:dyDescent="0.25">
      <c r="B90" s="6" t="s">
        <v>13</v>
      </c>
      <c r="C90" s="1">
        <v>11911616.560000001</v>
      </c>
      <c r="D90" t="str">
        <f t="shared" si="4"/>
        <v>Refrigerator</v>
      </c>
      <c r="E90" s="8">
        <f t="shared" si="5"/>
        <v>11911616.560000001</v>
      </c>
    </row>
    <row r="103" spans="2:4" x14ac:dyDescent="0.25">
      <c r="B103" s="5" t="s">
        <v>34</v>
      </c>
      <c r="C103" t="s">
        <v>24</v>
      </c>
      <c r="D103" t="s">
        <v>26</v>
      </c>
    </row>
    <row r="104" spans="2:4" x14ac:dyDescent="0.25">
      <c r="B104" s="6" t="s">
        <v>44</v>
      </c>
      <c r="C104" s="11">
        <v>987697.3</v>
      </c>
      <c r="D104" s="11">
        <v>360405.38</v>
      </c>
    </row>
    <row r="105" spans="2:4" x14ac:dyDescent="0.25">
      <c r="B105" s="6" t="s">
        <v>45</v>
      </c>
      <c r="C105" s="11">
        <v>918442</v>
      </c>
      <c r="D105" s="11">
        <v>115638.67</v>
      </c>
    </row>
    <row r="106" spans="2:4" x14ac:dyDescent="0.25">
      <c r="B106" s="6" t="s">
        <v>46</v>
      </c>
      <c r="C106" s="11">
        <v>954061.2</v>
      </c>
      <c r="D106" s="11">
        <v>330183.09999999998</v>
      </c>
    </row>
    <row r="107" spans="2:4" x14ac:dyDescent="0.25">
      <c r="B107" s="6" t="s">
        <v>4</v>
      </c>
      <c r="C107" s="11">
        <v>982152.1</v>
      </c>
      <c r="D107" s="11">
        <v>244807.14</v>
      </c>
    </row>
    <row r="108" spans="2:4" x14ac:dyDescent="0.25">
      <c r="B108" s="6" t="s">
        <v>2</v>
      </c>
      <c r="C108" s="11">
        <v>930971.85</v>
      </c>
      <c r="D108" s="11">
        <v>154179.01</v>
      </c>
    </row>
    <row r="109" spans="2:4" x14ac:dyDescent="0.25">
      <c r="B109" s="6" t="s">
        <v>3</v>
      </c>
      <c r="C109" s="11">
        <v>977750.05</v>
      </c>
      <c r="D109" s="11">
        <v>321830.42</v>
      </c>
    </row>
    <row r="110" spans="2:4" x14ac:dyDescent="0.25">
      <c r="B110" s="6" t="s">
        <v>47</v>
      </c>
      <c r="C110" s="11">
        <v>976763.65</v>
      </c>
      <c r="D110" s="11">
        <v>233191.73</v>
      </c>
    </row>
    <row r="111" spans="2:4" x14ac:dyDescent="0.25">
      <c r="B111" s="6" t="s">
        <v>48</v>
      </c>
      <c r="C111" s="11">
        <v>985107.9</v>
      </c>
      <c r="D111" s="11">
        <v>338888.91</v>
      </c>
    </row>
    <row r="112" spans="2:4" x14ac:dyDescent="0.25">
      <c r="B112" s="6" t="s">
        <v>1</v>
      </c>
      <c r="C112" s="11">
        <v>928523.55</v>
      </c>
      <c r="D112" s="11">
        <v>241483.38</v>
      </c>
    </row>
    <row r="113" spans="2:4" x14ac:dyDescent="0.25">
      <c r="B113" s="6" t="s">
        <v>0</v>
      </c>
      <c r="C113" s="11">
        <v>909367.2</v>
      </c>
      <c r="D113" s="11">
        <v>155461.38</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3048AD2-ED20-4C1F-A6FC-D5961BA346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2025-06-22T23:44:48Z</cp:lastPrinted>
  <dcterms:created xsi:type="dcterms:W3CDTF">2025-06-22T02:32:39Z</dcterms:created>
  <dcterms:modified xsi:type="dcterms:W3CDTF">2025-06-22T23:45:02Z</dcterms:modified>
</cp:coreProperties>
</file>